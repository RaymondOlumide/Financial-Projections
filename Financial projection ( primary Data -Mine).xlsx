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ond.Balogun\Downloads\"/>
    </mc:Choice>
  </mc:AlternateContent>
  <xr:revisionPtr revIDLastSave="0" documentId="13_ncr:1_{4A6AEC31-D0C2-4920-9FF8-3D1583C155F1}" xr6:coauthVersionLast="47" xr6:coauthVersionMax="47" xr10:uidLastSave="{00000000-0000-0000-0000-000000000000}"/>
  <bookViews>
    <workbookView xWindow="-110" yWindow="-110" windowWidth="25820" windowHeight="15500" xr2:uid="{B46BFFE1-CB16-4BCD-AFC2-238C615A92CD}"/>
  </bookViews>
  <sheets>
    <sheet name="Cover page" sheetId="1" r:id="rId1"/>
    <sheet name="Output" sheetId="4" r:id="rId2"/>
    <sheet name="Calculation" sheetId="3" r:id="rId3"/>
    <sheet name="inpu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4" l="1"/>
  <c r="H73" i="4" s="1"/>
  <c r="H74" i="4" s="1"/>
  <c r="G45" i="4"/>
  <c r="H85" i="4"/>
  <c r="G85" i="4"/>
  <c r="G40" i="4"/>
  <c r="H34" i="2"/>
  <c r="H25" i="3" s="1"/>
  <c r="G34" i="2"/>
  <c r="G25" i="3" s="1"/>
  <c r="H33" i="2"/>
  <c r="H24" i="3" s="1"/>
  <c r="H21" i="3" l="1"/>
  <c r="I18" i="3" s="1"/>
  <c r="G30" i="2"/>
  <c r="H12" i="3"/>
  <c r="G12" i="3"/>
  <c r="J16" i="2"/>
  <c r="J12" i="3" s="1"/>
  <c r="I16" i="2"/>
  <c r="I12" i="3" s="1"/>
  <c r="I9" i="3"/>
  <c r="M9" i="3"/>
  <c r="G9" i="3"/>
  <c r="J9" i="2"/>
  <c r="K9" i="2" s="1"/>
  <c r="H6" i="3"/>
  <c r="I6" i="3"/>
  <c r="I5" i="4" s="1"/>
  <c r="J6" i="3"/>
  <c r="G6" i="3"/>
  <c r="H12" i="2"/>
  <c r="H9" i="3" s="1"/>
  <c r="H20" i="2"/>
  <c r="H15" i="3" s="1"/>
  <c r="G20" i="2"/>
  <c r="G15" i="3" s="1"/>
  <c r="J12" i="2"/>
  <c r="K12" i="2" s="1"/>
  <c r="L12" i="2" s="1"/>
  <c r="M12" i="2" s="1"/>
  <c r="L9" i="2" l="1"/>
  <c r="K6" i="3"/>
  <c r="K16" i="2"/>
  <c r="L9" i="3"/>
  <c r="K9" i="3"/>
  <c r="J9" i="3"/>
  <c r="I20" i="2"/>
  <c r="I19" i="3"/>
  <c r="I13" i="4" s="1"/>
  <c r="I35" i="4" s="1"/>
  <c r="I20" i="3"/>
  <c r="I21" i="3" s="1"/>
  <c r="I24" i="3"/>
  <c r="I38" i="4" s="1"/>
  <c r="J5" i="4"/>
  <c r="J24" i="3" s="1"/>
  <c r="I9" i="4"/>
  <c r="I6" i="4"/>
  <c r="L16" i="2" l="1"/>
  <c r="K12" i="3"/>
  <c r="M9" i="2"/>
  <c r="M6" i="3" s="1"/>
  <c r="L6" i="3"/>
  <c r="J38" i="4"/>
  <c r="I15" i="3"/>
  <c r="I10" i="4" s="1"/>
  <c r="J20" i="2"/>
  <c r="J6" i="4"/>
  <c r="I7" i="4"/>
  <c r="I25" i="3"/>
  <c r="I27" i="3" s="1"/>
  <c r="J9" i="4"/>
  <c r="I69" i="4"/>
  <c r="J69" i="4"/>
  <c r="I44" i="4"/>
  <c r="I45" i="4" s="1"/>
  <c r="K5" i="4"/>
  <c r="K24" i="3" s="1"/>
  <c r="K38" i="4" s="1"/>
  <c r="J20" i="3"/>
  <c r="M16" i="2" l="1"/>
  <c r="M12" i="3" s="1"/>
  <c r="L12" i="3"/>
  <c r="K20" i="2"/>
  <c r="J15" i="3"/>
  <c r="J10" i="4" s="1"/>
  <c r="I12" i="4"/>
  <c r="I14" i="4" s="1"/>
  <c r="I82" i="4"/>
  <c r="I85" i="4" s="1"/>
  <c r="I39" i="4"/>
  <c r="J44" i="4"/>
  <c r="J45" i="4" s="1"/>
  <c r="K69" i="4"/>
  <c r="J18" i="3"/>
  <c r="I65" i="4"/>
  <c r="J7" i="4"/>
  <c r="J12" i="4" s="1"/>
  <c r="J25" i="3"/>
  <c r="J39" i="4" s="1"/>
  <c r="K20" i="3"/>
  <c r="K6" i="4"/>
  <c r="K9" i="4"/>
  <c r="L5" i="4"/>
  <c r="L24" i="3" s="1"/>
  <c r="L38" i="4" s="1"/>
  <c r="I16" i="4" l="1"/>
  <c r="I32" i="4"/>
  <c r="J19" i="3"/>
  <c r="J13" i="4" s="1"/>
  <c r="J35" i="4" s="1"/>
  <c r="J21" i="3"/>
  <c r="L20" i="2"/>
  <c r="K15" i="3"/>
  <c r="K10" i="4" s="1"/>
  <c r="K44" i="4"/>
  <c r="K45" i="4" s="1"/>
  <c r="L69" i="4"/>
  <c r="J82" i="4"/>
  <c r="J85" i="4" s="1"/>
  <c r="J27" i="3"/>
  <c r="K7" i="4"/>
  <c r="K12" i="4" s="1"/>
  <c r="K25" i="3"/>
  <c r="K39" i="4" s="1"/>
  <c r="M5" i="4"/>
  <c r="M24" i="3" s="1"/>
  <c r="L20" i="3"/>
  <c r="L6" i="4"/>
  <c r="L9" i="4"/>
  <c r="M69" i="4" l="1"/>
  <c r="M38" i="4"/>
  <c r="J14" i="4"/>
  <c r="M20" i="2"/>
  <c r="M15" i="3" s="1"/>
  <c r="M10" i="4" s="1"/>
  <c r="L15" i="3"/>
  <c r="L10" i="4" s="1"/>
  <c r="I17" i="4"/>
  <c r="I40" i="4" s="1"/>
  <c r="I81" i="4" s="1"/>
  <c r="L7" i="4"/>
  <c r="L25" i="3"/>
  <c r="L39" i="4" s="1"/>
  <c r="K82" i="4"/>
  <c r="K85" i="4" s="1"/>
  <c r="K27" i="3"/>
  <c r="L44" i="4"/>
  <c r="L45" i="4" s="1"/>
  <c r="K18" i="3"/>
  <c r="J65" i="4"/>
  <c r="M20" i="3"/>
  <c r="M6" i="4"/>
  <c r="M9" i="4"/>
  <c r="L12" i="4" l="1"/>
  <c r="I18" i="4"/>
  <c r="J16" i="4"/>
  <c r="J32" i="4"/>
  <c r="I41" i="4"/>
  <c r="I55" i="4" s="1"/>
  <c r="M44" i="4"/>
  <c r="M45" i="4" s="1"/>
  <c r="K19" i="3"/>
  <c r="K13" i="4" s="1"/>
  <c r="L82" i="4"/>
  <c r="L85" i="4" s="1"/>
  <c r="L27" i="3"/>
  <c r="M7" i="4"/>
  <c r="M12" i="4" s="1"/>
  <c r="M25" i="3"/>
  <c r="M39" i="4" s="1"/>
  <c r="I23" i="4" l="1"/>
  <c r="I19" i="4"/>
  <c r="K21" i="3"/>
  <c r="L18" i="3" s="1"/>
  <c r="J17" i="4"/>
  <c r="J40" i="4" s="1"/>
  <c r="J81" i="4" s="1"/>
  <c r="K35" i="4"/>
  <c r="K14" i="4"/>
  <c r="K16" i="4" s="1"/>
  <c r="M82" i="4"/>
  <c r="M85" i="4" s="1"/>
  <c r="M27" i="3"/>
  <c r="K65" i="4" l="1"/>
  <c r="J18" i="4"/>
  <c r="J41" i="4"/>
  <c r="J55" i="4" s="1"/>
  <c r="K32" i="4"/>
  <c r="K17" i="4"/>
  <c r="L19" i="3"/>
  <c r="L13" i="4" s="1"/>
  <c r="L21" i="3"/>
  <c r="J23" i="4" l="1"/>
  <c r="J19" i="4"/>
  <c r="M18" i="3"/>
  <c r="L65" i="4"/>
  <c r="L35" i="4"/>
  <c r="L14" i="4"/>
  <c r="L16" i="4" s="1"/>
  <c r="K18" i="4"/>
  <c r="K40" i="4"/>
  <c r="K81" i="4" s="1"/>
  <c r="K23" i="4" l="1"/>
  <c r="K19" i="4"/>
  <c r="K41" i="4"/>
  <c r="K55" i="4" s="1"/>
  <c r="L32" i="4"/>
  <c r="M19" i="3"/>
  <c r="M13" i="4" s="1"/>
  <c r="M21" i="3" l="1"/>
  <c r="M65" i="4" s="1"/>
  <c r="M35" i="4"/>
  <c r="M14" i="4"/>
  <c r="M16" i="4" s="1"/>
  <c r="L17" i="4"/>
  <c r="L40" i="4" s="1"/>
  <c r="L81" i="4" s="1"/>
  <c r="L18" i="4" l="1"/>
  <c r="L41" i="4"/>
  <c r="L55" i="4" s="1"/>
  <c r="M17" i="4"/>
  <c r="M32" i="4"/>
  <c r="L23" i="4" l="1"/>
  <c r="L19" i="4"/>
  <c r="M18" i="4"/>
  <c r="M40" i="4"/>
  <c r="M81" i="4" s="1"/>
  <c r="M23" i="4" l="1"/>
  <c r="M19" i="4"/>
  <c r="M41" i="4"/>
  <c r="M55" i="4" s="1"/>
  <c r="H53" i="4" l="1"/>
  <c r="G53" i="4"/>
  <c r="H45" i="4"/>
  <c r="H90" i="4"/>
  <c r="H92" i="4" s="1"/>
  <c r="H93" i="4" s="1"/>
  <c r="G90" i="4"/>
  <c r="G92" i="4" s="1"/>
  <c r="G93" i="4" s="1"/>
  <c r="H7" i="4"/>
  <c r="H9" i="4"/>
  <c r="H13" i="4"/>
  <c r="H35" i="4" s="1"/>
  <c r="G13" i="4"/>
  <c r="G35" i="4" s="1"/>
  <c r="G7" i="4"/>
  <c r="G12" i="4" s="1"/>
  <c r="H1" i="2"/>
  <c r="I1" i="2" s="1"/>
  <c r="J1" i="2" s="1"/>
  <c r="K1" i="2" s="1"/>
  <c r="L1" i="2" s="1"/>
  <c r="M1" i="2" s="1"/>
  <c r="H1" i="3"/>
  <c r="I1" i="3" s="1"/>
  <c r="J1" i="3" s="1"/>
  <c r="K1" i="3" s="1"/>
  <c r="L1" i="3" s="1"/>
  <c r="M1" i="3" s="1"/>
  <c r="H1" i="4"/>
  <c r="I1" i="4" s="1"/>
  <c r="J1" i="4" s="1"/>
  <c r="K1" i="4" s="1"/>
  <c r="L1" i="4" s="1"/>
  <c r="M1" i="4" s="1"/>
  <c r="G14" i="4" l="1"/>
  <c r="G32" i="4" s="1"/>
  <c r="H12" i="4"/>
  <c r="H14" i="4" s="1"/>
  <c r="H16" i="4" s="1"/>
  <c r="H18" i="4" s="1"/>
  <c r="H96" i="4"/>
  <c r="H23" i="4" l="1"/>
  <c r="H19" i="4"/>
  <c r="G16" i="4"/>
  <c r="G18" i="4" s="1"/>
  <c r="G23" i="4" l="1"/>
  <c r="G25" i="4" s="1"/>
  <c r="G19" i="4"/>
  <c r="H24" i="4" l="1"/>
  <c r="H25" i="4" s="1"/>
  <c r="G26" i="4"/>
  <c r="I24" i="4" l="1"/>
  <c r="I25" i="4" s="1"/>
  <c r="H26" i="4"/>
  <c r="I26" i="4" l="1"/>
  <c r="J24" i="4"/>
  <c r="J25" i="4" s="1"/>
  <c r="I89" i="4"/>
  <c r="I90" i="4" s="1"/>
  <c r="I92" i="4" s="1"/>
  <c r="I93" i="4" s="1"/>
  <c r="K24" i="4" l="1"/>
  <c r="K25" i="4" s="1"/>
  <c r="J26" i="4"/>
  <c r="J89" i="4"/>
  <c r="J90" i="4" s="1"/>
  <c r="J92" i="4" s="1"/>
  <c r="J93" i="4" s="1"/>
  <c r="G71" i="4"/>
  <c r="G73" i="4" s="1"/>
  <c r="G33" i="2"/>
  <c r="G24" i="3" s="1"/>
  <c r="G96" i="4" l="1"/>
  <c r="G74" i="4"/>
  <c r="L24" i="4"/>
  <c r="L25" i="4" s="1"/>
  <c r="K26" i="4"/>
  <c r="K89" i="4"/>
  <c r="K90" i="4" s="1"/>
  <c r="K92" i="4" s="1"/>
  <c r="K93" i="4" s="1"/>
  <c r="G38" i="4"/>
  <c r="G41" i="4" s="1"/>
  <c r="G55" i="4" s="1"/>
  <c r="G57" i="4" s="1"/>
  <c r="H38" i="4"/>
  <c r="H41" i="4" s="1"/>
  <c r="H55" i="4" s="1"/>
  <c r="H27" i="3"/>
  <c r="G27" i="3"/>
  <c r="H56" i="4" l="1"/>
  <c r="H57" i="4" s="1"/>
  <c r="G58" i="4"/>
  <c r="M24" i="4"/>
  <c r="M25" i="4" s="1"/>
  <c r="L26" i="4"/>
  <c r="L89" i="4"/>
  <c r="L90" i="4" s="1"/>
  <c r="L92" i="4" s="1"/>
  <c r="L93" i="4" s="1"/>
  <c r="I56" i="4" l="1"/>
  <c r="I57" i="4" s="1"/>
  <c r="H58" i="4"/>
  <c r="M26" i="4"/>
  <c r="M89" i="4"/>
  <c r="M90" i="4" s="1"/>
  <c r="M92" i="4" s="1"/>
  <c r="M93" i="4" s="1"/>
  <c r="I70" i="4"/>
  <c r="I71" i="4" s="1"/>
  <c r="I73" i="4" s="1"/>
  <c r="I96" i="4" l="1"/>
  <c r="I74" i="4"/>
  <c r="J56" i="4"/>
  <c r="J57" i="4" s="1"/>
  <c r="I58" i="4"/>
  <c r="J58" i="4" l="1"/>
  <c r="K56" i="4"/>
  <c r="K57" i="4" s="1"/>
  <c r="J70" i="4"/>
  <c r="J71" i="4" s="1"/>
  <c r="J73" i="4" s="1"/>
  <c r="J96" i="4" l="1"/>
  <c r="J74" i="4"/>
  <c r="K58" i="4"/>
  <c r="L56" i="4"/>
  <c r="L57" i="4" s="1"/>
  <c r="K70" i="4"/>
  <c r="K71" i="4" s="1"/>
  <c r="K73" i="4" s="1"/>
  <c r="K96" i="4" l="1"/>
  <c r="K74" i="4"/>
  <c r="L58" i="4"/>
  <c r="L70" i="4"/>
  <c r="L71" i="4" s="1"/>
  <c r="L73" i="4" s="1"/>
  <c r="M56" i="4"/>
  <c r="M57" i="4" s="1"/>
  <c r="L96" i="4" l="1"/>
  <c r="L74" i="4"/>
  <c r="M70" i="4"/>
  <c r="M71" i="4" s="1"/>
  <c r="M73" i="4" s="1"/>
  <c r="M58" i="4"/>
  <c r="M96" i="4" l="1"/>
  <c r="M74" i="4"/>
</calcChain>
</file>

<file path=xl/sharedStrings.xml><?xml version="1.0" encoding="utf-8"?>
<sst xmlns="http://schemas.openxmlformats.org/spreadsheetml/2006/main" count="140" uniqueCount="102">
  <si>
    <t>3-statement financial model</t>
  </si>
  <si>
    <t xml:space="preserve">Project Name </t>
  </si>
  <si>
    <t>Date</t>
  </si>
  <si>
    <t>15/04/2024</t>
  </si>
  <si>
    <t>Primary data mine LTD</t>
  </si>
  <si>
    <t>Prepared by</t>
  </si>
  <si>
    <t>Containing</t>
  </si>
  <si>
    <t>Input</t>
  </si>
  <si>
    <t xml:space="preserve">Calculations </t>
  </si>
  <si>
    <t>Output</t>
  </si>
  <si>
    <t>Primary Data mine LTD</t>
  </si>
  <si>
    <t xml:space="preserve">Figures are in Naira </t>
  </si>
  <si>
    <t xml:space="preserve">3-statement financial model </t>
  </si>
  <si>
    <t xml:space="preserve"> </t>
  </si>
  <si>
    <t>Revenue</t>
  </si>
  <si>
    <t>Gross Profit</t>
  </si>
  <si>
    <t>Other Expenses</t>
  </si>
  <si>
    <t>EBITDA</t>
  </si>
  <si>
    <t>Depreciation &amp; Amortization</t>
  </si>
  <si>
    <t>Earnings Before Interest &amp; Tax</t>
  </si>
  <si>
    <t>Interest Expense</t>
  </si>
  <si>
    <t>Profit Before Tax</t>
  </si>
  <si>
    <t>Taxation</t>
  </si>
  <si>
    <t>Profit After Tax</t>
  </si>
  <si>
    <t>Income Statement</t>
  </si>
  <si>
    <t>Operating Activities</t>
  </si>
  <si>
    <t>Add:</t>
  </si>
  <si>
    <t>Depreciation</t>
  </si>
  <si>
    <t>Changes in Working Capital:</t>
  </si>
  <si>
    <t>Inventory</t>
  </si>
  <si>
    <t>Receivables</t>
  </si>
  <si>
    <t>Payables</t>
  </si>
  <si>
    <t>Tax Paid</t>
  </si>
  <si>
    <t>Net Cash Generated from/(Used)</t>
  </si>
  <si>
    <t>Investing Activities</t>
  </si>
  <si>
    <t>Purchase of Property, Plant &amp; Equipment</t>
  </si>
  <si>
    <t>Financing Activities</t>
  </si>
  <si>
    <t>Proceeds from Share Capital</t>
  </si>
  <si>
    <t>Proceeds from Long-Term Loan (Debt)</t>
  </si>
  <si>
    <t>Repayment of Long-Term Loan (Principal)</t>
  </si>
  <si>
    <t>Dividend Payment</t>
  </si>
  <si>
    <t>Net Cash Generated/(Used) During the Year</t>
  </si>
  <si>
    <t>Cash at the Beginning of the Year</t>
  </si>
  <si>
    <t>Cash at the End of the Year</t>
  </si>
  <si>
    <t>Non-Current Assets</t>
  </si>
  <si>
    <t>Property, Plant &amp; Equipment</t>
  </si>
  <si>
    <t>Current Assets</t>
  </si>
  <si>
    <t>Cash</t>
  </si>
  <si>
    <t>Total Current Assets</t>
  </si>
  <si>
    <t>Total Assets</t>
  </si>
  <si>
    <t>Long-Term Liabilities</t>
  </si>
  <si>
    <t>Long-Term Loan (Debt)</t>
  </si>
  <si>
    <t>Current Liabilities</t>
  </si>
  <si>
    <t>Total Current Liabilities</t>
  </si>
  <si>
    <t>Total Liabilities</t>
  </si>
  <si>
    <t>Equity</t>
  </si>
  <si>
    <t>Share Capital</t>
  </si>
  <si>
    <t>Retained Earnings</t>
  </si>
  <si>
    <t>Total Equity</t>
  </si>
  <si>
    <t>Total Equity and Liabilities</t>
  </si>
  <si>
    <t>Expenses:</t>
  </si>
  <si>
    <t>Operating Expenses</t>
  </si>
  <si>
    <t>Personnel  Expenses</t>
  </si>
  <si>
    <t>-</t>
  </si>
  <si>
    <t xml:space="preserve">Tax Liabilities </t>
  </si>
  <si>
    <t>Check</t>
  </si>
  <si>
    <t xml:space="preserve">Cost of Good sold </t>
  </si>
  <si>
    <t>Statement of financial position</t>
  </si>
  <si>
    <t xml:space="preserve">Statement of Cashflows </t>
  </si>
  <si>
    <t>General assumptions</t>
  </si>
  <si>
    <t xml:space="preserve">Days </t>
  </si>
  <si>
    <t>Months</t>
  </si>
  <si>
    <t xml:space="preserve">Revenue </t>
  </si>
  <si>
    <t>Cost of goods as % of revenue</t>
  </si>
  <si>
    <t>Cost of goods sold</t>
  </si>
  <si>
    <t xml:space="preserve">Operating Expenses as % of revenue </t>
  </si>
  <si>
    <t>Personel Expenses</t>
  </si>
  <si>
    <t xml:space="preserve">growth in Revenue </t>
  </si>
  <si>
    <t>as a pecentage  of revenue</t>
  </si>
  <si>
    <t>Growth</t>
  </si>
  <si>
    <t>As a pecentage of Revenue</t>
  </si>
  <si>
    <t>Personnel Expenses</t>
  </si>
  <si>
    <t xml:space="preserve">Operating Expenses </t>
  </si>
  <si>
    <t>CIT</t>
  </si>
  <si>
    <t>Furniture and Fittings</t>
  </si>
  <si>
    <t>Office equipment</t>
  </si>
  <si>
    <t>Computer equipment</t>
  </si>
  <si>
    <t>Years</t>
  </si>
  <si>
    <t>additions as a pecentage of revenue</t>
  </si>
  <si>
    <t>PPE Schedule</t>
  </si>
  <si>
    <t>Opening balance</t>
  </si>
  <si>
    <t>Addition</t>
  </si>
  <si>
    <t>Closing balance</t>
  </si>
  <si>
    <t>Working Capital Days</t>
  </si>
  <si>
    <t>Working Capital</t>
  </si>
  <si>
    <t xml:space="preserve">Payables </t>
  </si>
  <si>
    <t>Changes in working Capital</t>
  </si>
  <si>
    <t>Dividends</t>
  </si>
  <si>
    <t>Retained Earnings BF</t>
  </si>
  <si>
    <t>Retained Earnings CF</t>
  </si>
  <si>
    <t>Value in $</t>
  </si>
  <si>
    <t>Raymond Balogun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</si>
</sst>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\(&quot;$&quot;#,##0\)"/>
    <numFmt numFmtId="165" formatCode="[$-409]dd\-mmm\-yy;@"/>
    <numFmt numFmtId="166" formatCode="0000&quot;A&quot;"/>
    <numFmt numFmtId="167" formatCode="0000&quot;E&quot;"/>
    <numFmt numFmtId="168" formatCode="0_);\(0\)"/>
    <numFmt numFmtId="169" formatCode="\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0"/>
      <name val="Aptos Narrow"/>
      <family val="2"/>
    </font>
    <font>
      <sz val="14"/>
      <color theme="0"/>
      <name val="Aptos Narrow"/>
      <family val="2"/>
    </font>
    <font>
      <sz val="11"/>
      <color theme="0"/>
      <name val="Aptos Narrow"/>
      <family val="2"/>
    </font>
    <font>
      <b/>
      <sz val="12"/>
      <color theme="0"/>
      <name val="Aptos Narrow"/>
      <family val="2"/>
    </font>
    <font>
      <b/>
      <sz val="12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0"/>
      <color rgb="FF0070C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0" fillId="4" borderId="0" xfId="0" applyFill="1"/>
    <xf numFmtId="0" fontId="4" fillId="4" borderId="0" xfId="0" applyFont="1" applyFill="1"/>
    <xf numFmtId="0" fontId="0" fillId="4" borderId="2" xfId="0" applyFill="1" applyBorder="1"/>
    <xf numFmtId="0" fontId="2" fillId="4" borderId="0" xfId="0" applyFont="1" applyFill="1"/>
    <xf numFmtId="0" fontId="2" fillId="4" borderId="1" xfId="0" applyFont="1" applyFill="1" applyBorder="1"/>
    <xf numFmtId="0" fontId="5" fillId="2" borderId="0" xfId="0" applyFont="1" applyFill="1"/>
    <xf numFmtId="0" fontId="3" fillId="2" borderId="0" xfId="0" applyFont="1" applyFill="1"/>
    <xf numFmtId="0" fontId="6" fillId="2" borderId="0" xfId="0" applyFont="1" applyFill="1"/>
    <xf numFmtId="0" fontId="3" fillId="0" borderId="0" xfId="0" applyFont="1"/>
    <xf numFmtId="165" fontId="3" fillId="2" borderId="0" xfId="0" applyNumberFormat="1" applyFont="1" applyFill="1"/>
    <xf numFmtId="0" fontId="7" fillId="0" borderId="0" xfId="0" applyFont="1"/>
    <xf numFmtId="0" fontId="8" fillId="0" borderId="3" xfId="0" applyFont="1" applyBorder="1"/>
    <xf numFmtId="0" fontId="9" fillId="0" borderId="0" xfId="0" applyFont="1"/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/>
    </xf>
    <xf numFmtId="0" fontId="8" fillId="0" borderId="4" xfId="0" applyFont="1" applyBorder="1"/>
    <xf numFmtId="0" fontId="8" fillId="3" borderId="0" xfId="0" applyFont="1" applyFill="1" applyAlignment="1">
      <alignment vertical="center"/>
    </xf>
    <xf numFmtId="0" fontId="8" fillId="3" borderId="0" xfId="0" applyFont="1" applyFill="1"/>
    <xf numFmtId="0" fontId="7" fillId="0" borderId="5" xfId="0" applyFont="1" applyBorder="1"/>
    <xf numFmtId="0" fontId="8" fillId="0" borderId="0" xfId="0" applyFont="1"/>
    <xf numFmtId="0" fontId="8" fillId="0" borderId="4" xfId="0" applyFont="1" applyBorder="1" applyAlignment="1">
      <alignment vertical="center"/>
    </xf>
    <xf numFmtId="0" fontId="10" fillId="2" borderId="6" xfId="0" applyFont="1" applyFill="1" applyBorder="1"/>
    <xf numFmtId="0" fontId="11" fillId="2" borderId="6" xfId="0" applyFont="1" applyFill="1" applyBorder="1"/>
    <xf numFmtId="0" fontId="12" fillId="2" borderId="6" xfId="0" applyFont="1" applyFill="1" applyBorder="1"/>
    <xf numFmtId="166" fontId="12" fillId="2" borderId="6" xfId="0" applyNumberFormat="1" applyFont="1" applyFill="1" applyBorder="1"/>
    <xf numFmtId="167" fontId="12" fillId="2" borderId="6" xfId="0" applyNumberFormat="1" applyFont="1" applyFill="1" applyBorder="1"/>
    <xf numFmtId="0" fontId="13" fillId="2" borderId="6" xfId="0" applyFont="1" applyFill="1" applyBorder="1"/>
    <xf numFmtId="0" fontId="14" fillId="2" borderId="0" xfId="0" applyFont="1" applyFill="1"/>
    <xf numFmtId="3" fontId="0" fillId="0" borderId="0" xfId="0" applyNumberFormat="1"/>
    <xf numFmtId="37" fontId="0" fillId="0" borderId="0" xfId="0" applyNumberFormat="1"/>
    <xf numFmtId="0" fontId="8" fillId="0" borderId="7" xfId="0" applyFont="1" applyBorder="1"/>
    <xf numFmtId="0" fontId="0" fillId="0" borderId="7" xfId="0" applyBorder="1"/>
    <xf numFmtId="168" fontId="0" fillId="0" borderId="0" xfId="0" applyNumberFormat="1"/>
    <xf numFmtId="37" fontId="16" fillId="0" borderId="0" xfId="0" applyNumberFormat="1" applyFont="1"/>
    <xf numFmtId="0" fontId="8" fillId="0" borderId="7" xfId="0" applyFont="1" applyBorder="1" applyAlignment="1">
      <alignment horizontal="left"/>
    </xf>
    <xf numFmtId="0" fontId="8" fillId="0" borderId="8" xfId="0" applyFont="1" applyBorder="1"/>
    <xf numFmtId="0" fontId="0" fillId="0" borderId="8" xfId="0" applyBorder="1"/>
    <xf numFmtId="9" fontId="0" fillId="0" borderId="0" xfId="1" applyFont="1"/>
    <xf numFmtId="0" fontId="7" fillId="0" borderId="8" xfId="0" applyFont="1" applyBorder="1"/>
    <xf numFmtId="0" fontId="2" fillId="0" borderId="8" xfId="0" applyFont="1" applyBorder="1"/>
    <xf numFmtId="0" fontId="17" fillId="5" borderId="9" xfId="0" applyFont="1" applyFill="1" applyBorder="1" applyAlignment="1">
      <alignment horizontal="center"/>
    </xf>
    <xf numFmtId="0" fontId="18" fillId="5" borderId="9" xfId="0" applyFont="1" applyFill="1" applyBorder="1" applyAlignment="1">
      <alignment horizontal="center"/>
    </xf>
    <xf numFmtId="37" fontId="0" fillId="0" borderId="8" xfId="0" applyNumberFormat="1" applyBorder="1"/>
    <xf numFmtId="169" fontId="16" fillId="0" borderId="0" xfId="0" applyNumberFormat="1" applyFont="1"/>
    <xf numFmtId="37" fontId="15" fillId="0" borderId="0" xfId="0" applyNumberFormat="1" applyFont="1"/>
    <xf numFmtId="0" fontId="8" fillId="0" borderId="10" xfId="0" applyFont="1" applyBorder="1"/>
    <xf numFmtId="0" fontId="0" fillId="0" borderId="10" xfId="0" applyBorder="1"/>
    <xf numFmtId="37" fontId="19" fillId="0" borderId="7" xfId="0" applyNumberFormat="1" applyFont="1" applyBorder="1"/>
    <xf numFmtId="37" fontId="20" fillId="0" borderId="7" xfId="0" applyNumberFormat="1" applyFont="1" applyBorder="1"/>
    <xf numFmtId="37" fontId="20" fillId="0" borderId="8" xfId="0" applyNumberFormat="1" applyFont="1" applyBorder="1"/>
    <xf numFmtId="37" fontId="20" fillId="0" borderId="10" xfId="0" applyNumberFormat="1" applyFont="1" applyBorder="1"/>
    <xf numFmtId="37" fontId="21" fillId="0" borderId="10" xfId="0" applyNumberFormat="1" applyFont="1" applyBorder="1"/>
    <xf numFmtId="169" fontId="20" fillId="0" borderId="10" xfId="0" applyNumberFormat="1" applyFont="1" applyBorder="1"/>
    <xf numFmtId="37" fontId="21" fillId="0" borderId="8" xfId="0" applyNumberFormat="1" applyFont="1" applyBorder="1"/>
    <xf numFmtId="9" fontId="0" fillId="0" borderId="0" xfId="0" applyNumberFormat="1"/>
    <xf numFmtId="10" fontId="0" fillId="0" borderId="0" xfId="0" applyNumberFormat="1"/>
    <xf numFmtId="0" fontId="18" fillId="5" borderId="11" xfId="0" applyFont="1" applyFill="1" applyBorder="1" applyAlignment="1">
      <alignment horizontal="center"/>
    </xf>
    <xf numFmtId="9" fontId="0" fillId="0" borderId="7" xfId="1" applyFont="1" applyBorder="1"/>
    <xf numFmtId="9" fontId="0" fillId="4" borderId="0" xfId="0" applyNumberFormat="1" applyFill="1"/>
    <xf numFmtId="37" fontId="20" fillId="0" borderId="0" xfId="0" applyNumberFormat="1" applyFont="1"/>
    <xf numFmtId="0" fontId="22" fillId="0" borderId="0" xfId="0" applyFont="1"/>
    <xf numFmtId="9" fontId="23" fillId="0" borderId="0" xfId="0" applyNumberFormat="1" applyFont="1"/>
    <xf numFmtId="168" fontId="20" fillId="0" borderId="0" xfId="0" applyNumberFormat="1" applyFont="1"/>
    <xf numFmtId="37" fontId="2" fillId="0" borderId="7" xfId="0" applyNumberFormat="1" applyFont="1" applyBorder="1"/>
    <xf numFmtId="37" fontId="21" fillId="0" borderId="7" xfId="0" applyNumberFormat="1" applyFont="1" applyBorder="1"/>
    <xf numFmtId="1" fontId="0" fillId="0" borderId="0" xfId="1" applyNumberFormat="1" applyFont="1"/>
    <xf numFmtId="0" fontId="24" fillId="0" borderId="0" xfId="0" applyFont="1"/>
    <xf numFmtId="37" fontId="0" fillId="4" borderId="0" xfId="0" applyNumberFormat="1" applyFill="1"/>
    <xf numFmtId="37" fontId="0" fillId="4" borderId="8" xfId="0" applyNumberFormat="1" applyFill="1" applyBorder="1"/>
    <xf numFmtId="169" fontId="0" fillId="0" borderId="0" xfId="0" applyNumberFormat="1"/>
    <xf numFmtId="9" fontId="23" fillId="0" borderId="0" xfId="1" applyFont="1"/>
    <xf numFmtId="9" fontId="18" fillId="5" borderId="9" xfId="0" applyNumberFormat="1" applyFont="1" applyFill="1" applyBorder="1" applyAlignment="1">
      <alignment horizontal="center"/>
    </xf>
    <xf numFmtId="9" fontId="18" fillId="5" borderId="11" xfId="0" applyNumberFormat="1" applyFont="1" applyFill="1" applyBorder="1" applyAlignment="1">
      <alignment horizontal="center"/>
    </xf>
    <xf numFmtId="10" fontId="23" fillId="0" borderId="0" xfId="1" applyNumberFormat="1" applyFont="1"/>
    <xf numFmtId="1" fontId="0" fillId="0" borderId="0" xfId="0" applyNumberFormat="1"/>
    <xf numFmtId="0" fontId="8" fillId="6" borderId="0" xfId="0" applyFont="1" applyFill="1"/>
    <xf numFmtId="0" fontId="0" fillId="6" borderId="0" xfId="0" applyFill="1"/>
    <xf numFmtId="37" fontId="21" fillId="6" borderId="0" xfId="0" applyNumberFormat="1" applyFont="1" applyFill="1"/>
    <xf numFmtId="164" fontId="21" fillId="6" borderId="0" xfId="0" applyNumberFormat="1" applyFont="1" applyFill="1"/>
    <xf numFmtId="0" fontId="25" fillId="0" borderId="0" xfId="0" applyFont="1"/>
    <xf numFmtId="0" fontId="2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8601-45C2-4C75-ACA5-9891DD37991D}">
  <dimension ref="A1:P33"/>
  <sheetViews>
    <sheetView showGridLines="0" tabSelected="1" workbookViewId="0">
      <selection activeCell="H16" sqref="H16"/>
    </sheetView>
  </sheetViews>
  <sheetFormatPr defaultColWidth="0" defaultRowHeight="14.5" x14ac:dyDescent="0.35"/>
  <cols>
    <col min="1" max="1" width="1.81640625" customWidth="1"/>
    <col min="2" max="6" width="9.1796875" customWidth="1"/>
    <col min="7" max="7" width="13.54296875" bestFit="1" customWidth="1"/>
    <col min="8" max="8" width="22.81640625" bestFit="1" customWidth="1"/>
    <col min="9" max="16" width="9.1796875" customWidth="1"/>
    <col min="17" max="16384" width="9.1796875" hidden="1"/>
  </cols>
  <sheetData>
    <row r="1" spans="1: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/>
    </row>
    <row r="4" spans="1:15" ht="23.5" x14ac:dyDescent="0.55000000000000004">
      <c r="A4" s="1"/>
      <c r="B4" s="1"/>
      <c r="C4" s="2"/>
      <c r="D4" s="3" t="s">
        <v>0</v>
      </c>
      <c r="E4" s="2"/>
      <c r="F4" s="2"/>
      <c r="G4" s="2"/>
      <c r="H4" s="2"/>
      <c r="I4" s="2"/>
      <c r="J4" s="2"/>
      <c r="K4" s="2"/>
      <c r="L4" s="2"/>
      <c r="M4" s="2"/>
      <c r="N4" s="2"/>
      <c r="O4" s="1"/>
    </row>
    <row r="5" spans="1:15" x14ac:dyDescent="0.3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"/>
    </row>
    <row r="6" spans="1:15" x14ac:dyDescent="0.3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"/>
    </row>
    <row r="7" spans="1:15" x14ac:dyDescent="0.35">
      <c r="A7" s="1"/>
      <c r="B7" s="1"/>
      <c r="C7" s="2"/>
      <c r="D7" s="2"/>
      <c r="E7" s="2"/>
      <c r="F7" s="2"/>
      <c r="G7" s="5" t="s">
        <v>1</v>
      </c>
      <c r="H7" s="6" t="s">
        <v>4</v>
      </c>
      <c r="I7" s="2"/>
      <c r="J7" s="2"/>
      <c r="K7" s="2"/>
      <c r="L7" s="2"/>
      <c r="M7" s="2"/>
      <c r="N7" s="2"/>
      <c r="O7" s="1"/>
    </row>
    <row r="8" spans="1:15" x14ac:dyDescent="0.35">
      <c r="A8" s="1"/>
      <c r="B8" s="1"/>
      <c r="C8" s="2"/>
      <c r="D8" s="2"/>
      <c r="E8" s="2"/>
      <c r="F8" s="2"/>
      <c r="G8" s="5" t="s">
        <v>5</v>
      </c>
      <c r="H8" s="6" t="s">
        <v>101</v>
      </c>
      <c r="I8" s="2"/>
      <c r="J8" s="2"/>
      <c r="K8" s="2"/>
      <c r="L8" s="2"/>
      <c r="M8" s="2"/>
      <c r="N8" s="2"/>
      <c r="O8" s="1"/>
    </row>
    <row r="9" spans="1:15" x14ac:dyDescent="0.35">
      <c r="A9" s="1"/>
      <c r="B9" s="1"/>
      <c r="C9" s="2"/>
      <c r="D9" s="2"/>
      <c r="E9" s="2"/>
      <c r="F9" s="2"/>
      <c r="G9" s="5" t="s">
        <v>2</v>
      </c>
      <c r="H9" s="6" t="s">
        <v>3</v>
      </c>
      <c r="I9" s="2"/>
      <c r="J9" s="2"/>
      <c r="K9" s="2"/>
      <c r="L9" s="2"/>
      <c r="M9" s="2"/>
      <c r="N9" s="2"/>
      <c r="O9" s="1"/>
    </row>
    <row r="10" spans="1:15" x14ac:dyDescent="0.35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"/>
    </row>
    <row r="11" spans="1:15" x14ac:dyDescent="0.35">
      <c r="A11" s="1"/>
      <c r="B11" s="1"/>
      <c r="C11" s="2"/>
      <c r="D11" s="4" t="s">
        <v>6</v>
      </c>
      <c r="E11" s="4"/>
      <c r="F11" s="4"/>
      <c r="G11" s="4"/>
      <c r="H11" s="4"/>
      <c r="I11" s="2"/>
      <c r="J11" s="2"/>
      <c r="K11" s="2"/>
      <c r="L11" s="2"/>
      <c r="M11" s="2"/>
      <c r="N11" s="2"/>
      <c r="O11" s="1"/>
    </row>
    <row r="12" spans="1:15" x14ac:dyDescent="0.35">
      <c r="A12" s="1"/>
      <c r="B12" s="1"/>
      <c r="C12" s="2"/>
      <c r="D12" s="5" t="s">
        <v>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1"/>
    </row>
    <row r="13" spans="1:15" x14ac:dyDescent="0.35">
      <c r="A13" s="1"/>
      <c r="B13" s="1"/>
      <c r="C13" s="2"/>
      <c r="D13" s="5" t="s">
        <v>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1"/>
    </row>
    <row r="14" spans="1:15" x14ac:dyDescent="0.35">
      <c r="A14" s="1"/>
      <c r="B14" s="1"/>
      <c r="C14" s="2"/>
      <c r="D14" s="5" t="s">
        <v>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1"/>
    </row>
    <row r="15" spans="1:15" x14ac:dyDescent="0.3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"/>
    </row>
    <row r="16" spans="1:15" x14ac:dyDescent="0.35">
      <c r="A16" s="1"/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"/>
    </row>
    <row r="17" spans="1:15" x14ac:dyDescent="0.35">
      <c r="A17" s="1"/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"/>
    </row>
    <row r="18" spans="1:15" x14ac:dyDescent="0.35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"/>
    </row>
    <row r="19" spans="1:15" x14ac:dyDescent="0.35">
      <c r="A19" s="1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"/>
    </row>
    <row r="20" spans="1:15" x14ac:dyDescent="0.35">
      <c r="A20" s="1"/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</row>
    <row r="21" spans="1:1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33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33DF-22F7-461F-85BD-A6A3160EC5B3}">
  <dimension ref="A1:O101"/>
  <sheetViews>
    <sheetView showGridLines="0" zoomScale="80" zoomScaleNormal="80" workbookViewId="0">
      <pane ySplit="3" topLeftCell="A4" activePane="bottomLeft" state="frozen"/>
      <selection pane="bottomLeft" activeCell="G19" sqref="G19"/>
    </sheetView>
  </sheetViews>
  <sheetFormatPr defaultColWidth="0" defaultRowHeight="14.5" outlineLevelRow="1" x14ac:dyDescent="0.35"/>
  <cols>
    <col min="1" max="1" width="2.81640625" customWidth="1"/>
    <col min="2" max="2" width="2.7265625" customWidth="1"/>
    <col min="3" max="3" width="37" customWidth="1"/>
    <col min="4" max="5" width="1.81640625" customWidth="1"/>
    <col min="6" max="6" width="1.26953125" customWidth="1"/>
    <col min="7" max="13" width="14.7265625" customWidth="1"/>
    <col min="14" max="14" width="9.1796875" customWidth="1"/>
    <col min="15" max="15" width="0" hidden="1" customWidth="1"/>
    <col min="16" max="16384" width="9.1796875" hidden="1"/>
  </cols>
  <sheetData>
    <row r="1" spans="1:15" ht="18.5" x14ac:dyDescent="0.45">
      <c r="A1" s="28" t="s">
        <v>10</v>
      </c>
      <c r="B1" s="23"/>
      <c r="C1" s="24"/>
      <c r="D1" s="25"/>
      <c r="E1" s="25"/>
      <c r="F1" s="25"/>
      <c r="G1" s="26">
        <v>2022</v>
      </c>
      <c r="H1" s="26">
        <f>G1+1</f>
        <v>2023</v>
      </c>
      <c r="I1" s="27">
        <f t="shared" ref="I1:M1" si="0">H1+1</f>
        <v>2024</v>
      </c>
      <c r="J1" s="27">
        <f t="shared" si="0"/>
        <v>2025</v>
      </c>
      <c r="K1" s="27">
        <f t="shared" si="0"/>
        <v>2026</v>
      </c>
      <c r="L1" s="27">
        <f t="shared" si="0"/>
        <v>2027</v>
      </c>
      <c r="M1" s="27">
        <f t="shared" si="0"/>
        <v>2028</v>
      </c>
      <c r="N1" s="10"/>
      <c r="O1" s="10"/>
    </row>
    <row r="2" spans="1:15" ht="18.5" x14ac:dyDescent="0.45">
      <c r="A2" s="29" t="s">
        <v>12</v>
      </c>
      <c r="B2" s="9"/>
      <c r="C2" s="7"/>
      <c r="D2" s="8"/>
      <c r="E2" s="8"/>
      <c r="F2" s="8"/>
      <c r="G2" s="11">
        <v>44562</v>
      </c>
      <c r="H2" s="11">
        <v>44927</v>
      </c>
      <c r="I2" s="11">
        <v>45292</v>
      </c>
      <c r="J2" s="11">
        <v>45658</v>
      </c>
      <c r="K2" s="11">
        <v>46023</v>
      </c>
      <c r="L2" s="11">
        <v>46388</v>
      </c>
      <c r="M2" s="11">
        <v>46753</v>
      </c>
      <c r="N2" s="10"/>
      <c r="O2" s="10"/>
    </row>
    <row r="3" spans="1:15" ht="19" thickBot="1" x14ac:dyDescent="0.5">
      <c r="A3" s="29" t="s">
        <v>11</v>
      </c>
      <c r="B3" s="9"/>
      <c r="C3" s="7"/>
      <c r="D3" s="8"/>
      <c r="E3" s="8"/>
      <c r="F3" s="8"/>
      <c r="G3" s="11">
        <v>44926</v>
      </c>
      <c r="H3" s="11">
        <v>45291</v>
      </c>
      <c r="I3" s="11">
        <v>45657</v>
      </c>
      <c r="J3" s="11">
        <v>46022</v>
      </c>
      <c r="K3" s="11">
        <v>46387</v>
      </c>
      <c r="L3" s="11">
        <v>46752</v>
      </c>
      <c r="M3" s="11">
        <v>47118</v>
      </c>
      <c r="N3" s="10"/>
      <c r="O3" s="10"/>
    </row>
    <row r="4" spans="1:15" ht="15" thickBot="1" x14ac:dyDescent="0.4">
      <c r="C4" s="43" t="s">
        <v>24</v>
      </c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5" outlineLevel="1" x14ac:dyDescent="0.35">
      <c r="C5" s="12" t="s">
        <v>14</v>
      </c>
      <c r="D5" s="12"/>
      <c r="G5" s="35">
        <v>22885469</v>
      </c>
      <c r="H5" s="35">
        <v>255878758</v>
      </c>
      <c r="I5" s="61">
        <f>H5*(1+Calculation!I$6)</f>
        <v>365906623.94</v>
      </c>
      <c r="J5" s="61">
        <f>I5*(1+Calculation!J$6)</f>
        <v>541541803.43120003</v>
      </c>
      <c r="K5" s="61">
        <f>J5*(1+Calculation!K$6)</f>
        <v>828558959.24973607</v>
      </c>
      <c r="L5" s="61">
        <f>K5*(1+Calculation!L$6)</f>
        <v>1309123155.614583</v>
      </c>
      <c r="M5" s="61">
        <f>L5*(1+Calculation!M$6)</f>
        <v>2133870743.6517704</v>
      </c>
    </row>
    <row r="6" spans="1:15" outlineLevel="1" x14ac:dyDescent="0.35">
      <c r="C6" s="12" t="s">
        <v>66</v>
      </c>
      <c r="D6" s="12"/>
      <c r="G6" s="35">
        <v>-8352601</v>
      </c>
      <c r="H6" s="35">
        <v>-148814107</v>
      </c>
      <c r="I6" s="61">
        <f>-Calculation!I$9*Output!I5</f>
        <v>-109771987.182</v>
      </c>
      <c r="J6" s="61">
        <f>-Calculation!J$9*Output!J5</f>
        <v>-146216286.92642403</v>
      </c>
      <c r="K6" s="61">
        <f>-Calculation!K$9*Output!K5</f>
        <v>-198854150.21993667</v>
      </c>
      <c r="L6" s="61">
        <f>-Calculation!L$9*Output!L5</f>
        <v>-274915862.67906249</v>
      </c>
      <c r="M6" s="61">
        <f>-Calculation!M$9*Output!M5</f>
        <v>-384096733.8573187</v>
      </c>
    </row>
    <row r="7" spans="1:15" outlineLevel="1" x14ac:dyDescent="0.35">
      <c r="C7" s="32" t="s">
        <v>15</v>
      </c>
      <c r="D7" s="32"/>
      <c r="E7" s="33"/>
      <c r="F7" s="33"/>
      <c r="G7" s="66">
        <f>SUM(G5:G6)</f>
        <v>14532868</v>
      </c>
      <c r="H7" s="66">
        <f>SUM(H5:H6)</f>
        <v>107064651</v>
      </c>
      <c r="I7" s="66">
        <f t="shared" ref="I7:M7" si="1">SUM(I5:I6)</f>
        <v>256134636.75800002</v>
      </c>
      <c r="J7" s="66">
        <f t="shared" si="1"/>
        <v>395325516.504776</v>
      </c>
      <c r="K7" s="66">
        <f t="shared" si="1"/>
        <v>629704809.02979946</v>
      </c>
      <c r="L7" s="66">
        <f t="shared" si="1"/>
        <v>1034207292.9355205</v>
      </c>
      <c r="M7" s="66">
        <f t="shared" si="1"/>
        <v>1749774009.7944517</v>
      </c>
    </row>
    <row r="8" spans="1:15" outlineLevel="1" x14ac:dyDescent="0.35">
      <c r="C8" s="14" t="s">
        <v>60</v>
      </c>
      <c r="D8" s="14"/>
      <c r="G8" s="35"/>
      <c r="H8" s="35"/>
      <c r="I8" s="35"/>
      <c r="J8" s="35" t="s">
        <v>13</v>
      </c>
      <c r="K8" s="35"/>
      <c r="L8" s="35"/>
      <c r="M8" s="35"/>
    </row>
    <row r="9" spans="1:15" outlineLevel="1" x14ac:dyDescent="0.35">
      <c r="C9" s="15" t="s">
        <v>61</v>
      </c>
      <c r="D9" s="15"/>
      <c r="G9" s="35">
        <v>-1821020</v>
      </c>
      <c r="H9" s="35">
        <f>-20161222+5636624</f>
        <v>-14524598</v>
      </c>
      <c r="I9" s="61">
        <f>-Calculation!I12*Output!I5</f>
        <v>-7318132.4787999997</v>
      </c>
      <c r="J9" s="61">
        <f>-Calculation!J12*Output!J5</f>
        <v>-13538545.085780002</v>
      </c>
      <c r="K9" s="61">
        <f>-Calculation!K12*Output!K5</f>
        <v>-24856768.777492084</v>
      </c>
      <c r="L9" s="61">
        <f>-Calculation!L12*Output!L5</f>
        <v>-45819310.446510412</v>
      </c>
      <c r="M9" s="61">
        <f>-Calculation!M12*Output!M5</f>
        <v>-85354829.746070817</v>
      </c>
    </row>
    <row r="10" spans="1:15" outlineLevel="1" x14ac:dyDescent="0.35">
      <c r="C10" s="15" t="s">
        <v>62</v>
      </c>
      <c r="D10" s="15"/>
      <c r="G10" s="35">
        <v>-9534769</v>
      </c>
      <c r="H10" s="35">
        <v>-47870680</v>
      </c>
      <c r="I10" s="61">
        <f>Calculation!I15*Output!I5</f>
        <v>-68455072.399999991</v>
      </c>
      <c r="J10" s="61">
        <f>Calculation!J15*Output!J5</f>
        <v>-101313507.152</v>
      </c>
      <c r="K10" s="61">
        <f>Calculation!K15*Output!K5</f>
        <v>-155009665.94256002</v>
      </c>
      <c r="L10" s="61">
        <f>Calculation!L15*Output!L5</f>
        <v>-244915272.18924481</v>
      </c>
      <c r="M10" s="61">
        <f>Calculation!M15*Output!M5</f>
        <v>-399211893.66846907</v>
      </c>
    </row>
    <row r="11" spans="1:15" outlineLevel="1" x14ac:dyDescent="0.35">
      <c r="C11" s="15" t="s">
        <v>16</v>
      </c>
      <c r="D11" s="15"/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</row>
    <row r="12" spans="1:15" outlineLevel="1" x14ac:dyDescent="0.35">
      <c r="C12" s="36" t="s">
        <v>17</v>
      </c>
      <c r="D12" s="36"/>
      <c r="E12" s="33"/>
      <c r="F12" s="33"/>
      <c r="G12" s="50">
        <f>SUM(G7:G11)</f>
        <v>3177079</v>
      </c>
      <c r="H12" s="50">
        <f>SUM(H7:H11)</f>
        <v>44669373</v>
      </c>
      <c r="I12" s="50">
        <f>SUM(I7:I11)</f>
        <v>180361431.87920004</v>
      </c>
      <c r="J12" s="50">
        <f t="shared" ref="J12:M12" si="2">SUM(J7:J11)</f>
        <v>280473464.26699597</v>
      </c>
      <c r="K12" s="50">
        <f t="shared" si="2"/>
        <v>449838374.3097474</v>
      </c>
      <c r="L12" s="50">
        <f t="shared" si="2"/>
        <v>743472710.29976535</v>
      </c>
      <c r="M12" s="50">
        <f t="shared" si="2"/>
        <v>1265207286.3799119</v>
      </c>
    </row>
    <row r="13" spans="1:15" outlineLevel="1" x14ac:dyDescent="0.35">
      <c r="C13" s="16" t="s">
        <v>18</v>
      </c>
      <c r="D13" s="16"/>
      <c r="G13" s="35">
        <f>-702079</f>
        <v>-702079</v>
      </c>
      <c r="H13" s="35">
        <f>-5636624</f>
        <v>-5636624</v>
      </c>
      <c r="I13" s="31">
        <f>Calculation!I19</f>
        <v>-6638818.4000000004</v>
      </c>
      <c r="J13" s="31">
        <f>Calculation!J19</f>
        <v>-14092813.694560001</v>
      </c>
      <c r="K13" s="31">
        <f>Calculation!K19</f>
        <v>-24271254.237996802</v>
      </c>
      <c r="L13" s="31">
        <f>Calculation!L19</f>
        <v>-39302418.412391104</v>
      </c>
      <c r="M13" s="31">
        <f>Calculation!M19</f>
        <v>-62860890.46466288</v>
      </c>
    </row>
    <row r="14" spans="1:15" outlineLevel="1" x14ac:dyDescent="0.35">
      <c r="C14" s="32" t="s">
        <v>19</v>
      </c>
      <c r="D14" s="32"/>
      <c r="E14" s="33"/>
      <c r="F14" s="33"/>
      <c r="G14" s="49">
        <f>SUM(G12:G13)</f>
        <v>2475000</v>
      </c>
      <c r="H14" s="49">
        <f>SUM(H12:H13)</f>
        <v>39032749</v>
      </c>
      <c r="I14" s="65">
        <f t="shared" ref="I14:M14" si="3">SUM(I12:I13)</f>
        <v>173722613.47920004</v>
      </c>
      <c r="J14" s="65">
        <f t="shared" si="3"/>
        <v>266380650.57243598</v>
      </c>
      <c r="K14" s="65">
        <f t="shared" si="3"/>
        <v>425567120.07175058</v>
      </c>
      <c r="L14" s="65">
        <f t="shared" si="3"/>
        <v>704170291.88737428</v>
      </c>
      <c r="M14" s="65">
        <f t="shared" si="3"/>
        <v>1202346395.9152491</v>
      </c>
    </row>
    <row r="15" spans="1:15" outlineLevel="1" x14ac:dyDescent="0.35">
      <c r="C15" s="12" t="s">
        <v>20</v>
      </c>
      <c r="D15" s="12"/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</row>
    <row r="16" spans="1:15" outlineLevel="1" x14ac:dyDescent="0.35">
      <c r="C16" s="32" t="s">
        <v>21</v>
      </c>
      <c r="D16" s="32"/>
      <c r="E16" s="33"/>
      <c r="F16" s="33"/>
      <c r="G16" s="50">
        <f t="shared" ref="G16:M16" si="4">SUM(G14:G15)</f>
        <v>2475000</v>
      </c>
      <c r="H16" s="50">
        <f t="shared" si="4"/>
        <v>39032749</v>
      </c>
      <c r="I16" s="50">
        <f t="shared" si="4"/>
        <v>173722613.47920004</v>
      </c>
      <c r="J16" s="50">
        <f t="shared" si="4"/>
        <v>266380650.57243598</v>
      </c>
      <c r="K16" s="50">
        <f t="shared" si="4"/>
        <v>425567120.07175058</v>
      </c>
      <c r="L16" s="50">
        <f t="shared" si="4"/>
        <v>704170291.88737428</v>
      </c>
      <c r="M16" s="50">
        <f t="shared" si="4"/>
        <v>1202346395.9152491</v>
      </c>
    </row>
    <row r="17" spans="3:14" outlineLevel="1" x14ac:dyDescent="0.35">
      <c r="C17" s="12" t="s">
        <v>22</v>
      </c>
      <c r="D17" s="12"/>
      <c r="G17" s="35">
        <v>-124</v>
      </c>
      <c r="H17" s="71">
        <v>0</v>
      </c>
      <c r="I17" s="64">
        <f>-input!$G$23*Output!I16</f>
        <v>-52116784.043760009</v>
      </c>
      <c r="J17" s="64">
        <f>-input!$G$23*Output!J16</f>
        <v>-79914195.171730787</v>
      </c>
      <c r="K17" s="64">
        <f>-input!$G$23*Output!K16</f>
        <v>-127670136.02152517</v>
      </c>
      <c r="L17" s="64">
        <f>-input!$G$23*Output!L16</f>
        <v>-211251087.56621227</v>
      </c>
      <c r="M17" s="64">
        <f>-input!$G$23*Output!M16</f>
        <v>-360703918.7745747</v>
      </c>
    </row>
    <row r="18" spans="3:14" ht="15" outlineLevel="1" thickBot="1" x14ac:dyDescent="0.4">
      <c r="C18" s="37" t="s">
        <v>23</v>
      </c>
      <c r="D18" s="37"/>
      <c r="E18" s="38"/>
      <c r="F18" s="38"/>
      <c r="G18" s="55">
        <f>SUM(G16:G17)</f>
        <v>2474876</v>
      </c>
      <c r="H18" s="55">
        <f>SUM(H16:H17)</f>
        <v>39032749</v>
      </c>
      <c r="I18" s="55">
        <f>SUM(I16:I17)</f>
        <v>121605829.43544003</v>
      </c>
      <c r="J18" s="55">
        <f>SUM(J16:J17)</f>
        <v>186466455.40070519</v>
      </c>
      <c r="K18" s="55">
        <f t="shared" ref="K18:L18" si="5">SUM(K16:K17)</f>
        <v>297896984.05022538</v>
      </c>
      <c r="L18" s="55">
        <f t="shared" si="5"/>
        <v>492919204.32116199</v>
      </c>
      <c r="M18" s="55">
        <f>SUM(M16:M17)</f>
        <v>841642477.14067435</v>
      </c>
    </row>
    <row r="19" spans="3:14" ht="15" outlineLevel="1" thickTop="1" x14ac:dyDescent="0.35">
      <c r="C19" s="77" t="s">
        <v>100</v>
      </c>
      <c r="D19" s="77"/>
      <c r="E19" s="78"/>
      <c r="F19" s="78"/>
      <c r="G19" s="80">
        <f>G18/$C$20</f>
        <v>2062.3966666666665</v>
      </c>
      <c r="H19" s="80">
        <f t="shared" ref="H19:M19" si="6">H18/$C$20</f>
        <v>32527.290833333333</v>
      </c>
      <c r="I19" s="80">
        <f t="shared" si="6"/>
        <v>101338.19119620003</v>
      </c>
      <c r="J19" s="80">
        <f t="shared" si="6"/>
        <v>155388.71283392099</v>
      </c>
      <c r="K19" s="80">
        <f t="shared" si="6"/>
        <v>248247.48670852114</v>
      </c>
      <c r="L19" s="80">
        <f t="shared" si="6"/>
        <v>410766.00360096834</v>
      </c>
      <c r="M19" s="80">
        <f t="shared" si="6"/>
        <v>701368.73095056193</v>
      </c>
    </row>
    <row r="20" spans="3:14" outlineLevel="1" x14ac:dyDescent="0.35">
      <c r="C20" s="81">
        <v>1200</v>
      </c>
      <c r="D20" s="77"/>
      <c r="E20" s="78"/>
      <c r="F20" s="78"/>
      <c r="G20" s="79"/>
      <c r="H20" s="79"/>
      <c r="I20" s="79"/>
      <c r="J20" s="79"/>
      <c r="K20" s="79"/>
      <c r="L20" s="79"/>
      <c r="M20" s="79"/>
    </row>
    <row r="21" spans="3:14" x14ac:dyDescent="0.35">
      <c r="C21" s="21"/>
      <c r="D21" s="21"/>
      <c r="G21" s="35"/>
      <c r="H21" s="35"/>
      <c r="I21" s="46"/>
      <c r="J21" s="46"/>
      <c r="K21" s="46"/>
      <c r="L21" s="46"/>
      <c r="M21" s="46"/>
    </row>
    <row r="22" spans="3:14" x14ac:dyDescent="0.35">
      <c r="C22" s="12" t="s">
        <v>97</v>
      </c>
      <c r="D22" s="12"/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</row>
    <row r="23" spans="3:14" x14ac:dyDescent="0.35">
      <c r="C23" s="13" t="s">
        <v>57</v>
      </c>
      <c r="D23" s="13"/>
      <c r="G23" s="31">
        <f>G18-G22</f>
        <v>2474876</v>
      </c>
      <c r="H23" s="31">
        <f t="shared" ref="H23:M23" si="7">H18-H22</f>
        <v>39032749</v>
      </c>
      <c r="I23" s="31">
        <f t="shared" si="7"/>
        <v>121605829.43544003</v>
      </c>
      <c r="J23" s="31">
        <f t="shared" si="7"/>
        <v>186466455.40070519</v>
      </c>
      <c r="K23" s="31">
        <f t="shared" si="7"/>
        <v>297896984.05022538</v>
      </c>
      <c r="L23" s="31">
        <f t="shared" si="7"/>
        <v>492919204.32116199</v>
      </c>
      <c r="M23" s="31">
        <f t="shared" si="7"/>
        <v>841642477.14067435</v>
      </c>
    </row>
    <row r="24" spans="3:14" x14ac:dyDescent="0.35">
      <c r="C24" s="12" t="s">
        <v>98</v>
      </c>
      <c r="D24" s="12"/>
      <c r="G24" s="31">
        <v>0</v>
      </c>
      <c r="H24" s="31">
        <f>G25</f>
        <v>2474876</v>
      </c>
      <c r="I24" s="31">
        <f t="shared" ref="I24:M24" si="8">H25</f>
        <v>41507625</v>
      </c>
      <c r="J24" s="31">
        <f t="shared" si="8"/>
        <v>163113454.43544003</v>
      </c>
      <c r="K24" s="31">
        <f t="shared" si="8"/>
        <v>349579909.83614522</v>
      </c>
      <c r="L24" s="31">
        <f t="shared" si="8"/>
        <v>647476893.88637066</v>
      </c>
      <c r="M24" s="31">
        <f t="shared" si="8"/>
        <v>1140396098.2075326</v>
      </c>
      <c r="N24" t="s">
        <v>13</v>
      </c>
    </row>
    <row r="25" spans="3:14" ht="15" thickBot="1" x14ac:dyDescent="0.4">
      <c r="C25" s="40" t="s">
        <v>99</v>
      </c>
      <c r="D25" s="40"/>
      <c r="E25" s="38"/>
      <c r="F25" s="38"/>
      <c r="G25" s="44">
        <f>SUM(G23:G24)</f>
        <v>2474876</v>
      </c>
      <c r="H25" s="44">
        <f t="shared" ref="H25:M25" si="9">SUM(H23:H24)</f>
        <v>41507625</v>
      </c>
      <c r="I25" s="44">
        <f t="shared" si="9"/>
        <v>163113454.43544003</v>
      </c>
      <c r="J25" s="44">
        <f t="shared" si="9"/>
        <v>349579909.83614522</v>
      </c>
      <c r="K25" s="44">
        <f t="shared" si="9"/>
        <v>647476893.88637066</v>
      </c>
      <c r="L25" s="44">
        <f t="shared" si="9"/>
        <v>1140396098.2075326</v>
      </c>
      <c r="M25" s="44">
        <f t="shared" si="9"/>
        <v>1982038575.348207</v>
      </c>
    </row>
    <row r="26" spans="3:14" ht="15" thickTop="1" x14ac:dyDescent="0.35">
      <c r="C26" s="77" t="s">
        <v>100</v>
      </c>
      <c r="D26" s="77"/>
      <c r="E26" s="78"/>
      <c r="F26" s="78"/>
      <c r="G26" s="80">
        <f>G25/$C$20</f>
        <v>2062.3966666666665</v>
      </c>
      <c r="H26" s="80">
        <f t="shared" ref="H26" si="10">H25/$C$20</f>
        <v>34589.6875</v>
      </c>
      <c r="I26" s="80">
        <f t="shared" ref="I26" si="11">I25/$C$20</f>
        <v>135927.87869620003</v>
      </c>
      <c r="J26" s="80">
        <f t="shared" ref="J26" si="12">J25/$C$20</f>
        <v>291316.59153012099</v>
      </c>
      <c r="K26" s="80">
        <f t="shared" ref="K26" si="13">K25/$C$20</f>
        <v>539564.07823864219</v>
      </c>
      <c r="L26" s="80">
        <f t="shared" ref="L26" si="14">L25/$C$20</f>
        <v>950330.08183961059</v>
      </c>
      <c r="M26" s="80">
        <f>M25/$C$20</f>
        <v>1651698.8127901724</v>
      </c>
    </row>
    <row r="27" spans="3:14" x14ac:dyDescent="0.35">
      <c r="C27" s="81">
        <v>1200</v>
      </c>
      <c r="D27" s="77"/>
      <c r="E27" s="78"/>
      <c r="F27" s="78"/>
      <c r="G27" s="79"/>
      <c r="H27" s="79"/>
      <c r="I27" s="79"/>
      <c r="J27" s="79"/>
      <c r="K27" s="79"/>
      <c r="L27" s="79"/>
      <c r="M27" s="79"/>
    </row>
    <row r="28" spans="3:14" ht="15" thickBot="1" x14ac:dyDescent="0.4">
      <c r="G28" s="35"/>
      <c r="H28" s="35"/>
    </row>
    <row r="29" spans="3:14" ht="15" thickBot="1" x14ac:dyDescent="0.4">
      <c r="C29" s="43" t="s">
        <v>68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3:14" outlineLevel="1" x14ac:dyDescent="0.35">
      <c r="G30" s="35"/>
      <c r="H30" s="35"/>
      <c r="K30" t="s">
        <v>13</v>
      </c>
    </row>
    <row r="31" spans="3:14" outlineLevel="1" x14ac:dyDescent="0.35">
      <c r="C31" s="18" t="s">
        <v>25</v>
      </c>
      <c r="D31" s="18"/>
      <c r="G31" s="35"/>
      <c r="H31" s="35"/>
    </row>
    <row r="32" spans="3:14" outlineLevel="1" x14ac:dyDescent="0.35">
      <c r="C32" s="12" t="s">
        <v>21</v>
      </c>
      <c r="D32" s="12"/>
      <c r="G32" s="35">
        <f>G14</f>
        <v>2475000</v>
      </c>
      <c r="H32" s="35">
        <v>39032749</v>
      </c>
      <c r="I32" s="31">
        <f>I14</f>
        <v>173722613.47920004</v>
      </c>
      <c r="J32" s="31">
        <f t="shared" ref="J32:M32" si="15">J14</f>
        <v>266380650.57243598</v>
      </c>
      <c r="K32" s="31">
        <f t="shared" si="15"/>
        <v>425567120.07175058</v>
      </c>
      <c r="L32" s="31">
        <f t="shared" si="15"/>
        <v>704170291.88737428</v>
      </c>
      <c r="M32" s="31">
        <f t="shared" si="15"/>
        <v>1202346395.9152491</v>
      </c>
    </row>
    <row r="33" spans="3:13" outlineLevel="1" x14ac:dyDescent="0.35">
      <c r="C33" s="12" t="s">
        <v>26</v>
      </c>
      <c r="D33" s="12"/>
      <c r="G33" s="35"/>
      <c r="H33" s="35"/>
    </row>
    <row r="34" spans="3:13" outlineLevel="1" x14ac:dyDescent="0.35">
      <c r="C34" s="15" t="s">
        <v>20</v>
      </c>
      <c r="D34" s="12"/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</row>
    <row r="35" spans="3:13" outlineLevel="1" x14ac:dyDescent="0.35">
      <c r="C35" s="15" t="s">
        <v>27</v>
      </c>
      <c r="D35" s="12"/>
      <c r="G35" s="35">
        <f>-G13</f>
        <v>702079</v>
      </c>
      <c r="H35" s="35">
        <f>-H13</f>
        <v>5636624</v>
      </c>
      <c r="I35" s="31">
        <f>-I13</f>
        <v>6638818.4000000004</v>
      </c>
      <c r="J35" s="31">
        <f t="shared" ref="J35:M35" si="16">-J13</f>
        <v>14092813.694560001</v>
      </c>
      <c r="K35" s="31">
        <f t="shared" si="16"/>
        <v>24271254.237996802</v>
      </c>
      <c r="L35" s="31">
        <f t="shared" si="16"/>
        <v>39302418.412391104</v>
      </c>
      <c r="M35" s="31">
        <f t="shared" si="16"/>
        <v>62860890.46466288</v>
      </c>
    </row>
    <row r="36" spans="3:13" outlineLevel="1" x14ac:dyDescent="0.35">
      <c r="C36" s="12" t="s">
        <v>28</v>
      </c>
      <c r="D36" s="12"/>
      <c r="G36" s="35"/>
      <c r="H36" s="35"/>
    </row>
    <row r="37" spans="3:13" outlineLevel="1" x14ac:dyDescent="0.35">
      <c r="C37" s="15" t="s">
        <v>29</v>
      </c>
      <c r="D37" s="12"/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</row>
    <row r="38" spans="3:13" outlineLevel="1" x14ac:dyDescent="0.35">
      <c r="C38" s="15" t="s">
        <v>30</v>
      </c>
      <c r="D38" s="12"/>
      <c r="G38" s="35">
        <f>-Calculation!G24+Calculation!F24</f>
        <v>-5689994</v>
      </c>
      <c r="H38" s="61">
        <f>-Calculation!H24+Calculation!G24</f>
        <v>-11852701</v>
      </c>
      <c r="I38" s="61">
        <f>-Calculation!I24+Calculation!H24</f>
        <v>-4511950.8265205473</v>
      </c>
      <c r="J38" s="61">
        <f>-Calculation!J24+Calculation!I24</f>
        <v>-10586229.996729866</v>
      </c>
      <c r="K38" s="61">
        <f>-Calculation!K24+Calculation!J24</f>
        <v>-17299664.186322719</v>
      </c>
      <c r="L38" s="61">
        <f>-Calculation!L24+Calculation!K24</f>
        <v>-28965513.205552429</v>
      </c>
      <c r="M38" s="61">
        <f>-Calculation!M24+Calculation!L24</f>
        <v>-49710813.525529101</v>
      </c>
    </row>
    <row r="39" spans="3:13" outlineLevel="1" x14ac:dyDescent="0.35">
      <c r="C39" s="15" t="s">
        <v>31</v>
      </c>
      <c r="D39" s="12"/>
      <c r="G39" s="35">
        <v>9387929</v>
      </c>
      <c r="H39" s="35">
        <v>2862169</v>
      </c>
      <c r="I39" s="31">
        <f>Calculation!I25-Calculation!H25</f>
        <v>-2325507.3780657537</v>
      </c>
      <c r="J39" s="31">
        <f>Calculation!J25-Calculation!I25</f>
        <v>3294964.0864821728</v>
      </c>
      <c r="K39" s="31">
        <f>Calculation!K25-Calculation!J25</f>
        <v>4759039.6950299088</v>
      </c>
      <c r="L39" s="31">
        <f>Calculation!L25-Calculation!K25</f>
        <v>6876812.3593182266</v>
      </c>
      <c r="M39" s="31">
        <f>Calculation!M25-Calculation!L25</f>
        <v>9871147.257212203</v>
      </c>
    </row>
    <row r="40" spans="3:13" outlineLevel="1" x14ac:dyDescent="0.35">
      <c r="C40" s="12" t="s">
        <v>32</v>
      </c>
      <c r="D40" s="12"/>
      <c r="G40" s="35">
        <f>G17</f>
        <v>-124</v>
      </c>
      <c r="H40" s="35" t="s">
        <v>63</v>
      </c>
      <c r="I40" s="34">
        <f>I17</f>
        <v>-52116784.043760009</v>
      </c>
      <c r="J40" s="34">
        <f t="shared" ref="J40:M40" si="17">J17</f>
        <v>-79914195.171730787</v>
      </c>
      <c r="K40" s="34">
        <f t="shared" si="17"/>
        <v>-127670136.02152517</v>
      </c>
      <c r="L40" s="34">
        <f t="shared" si="17"/>
        <v>-211251087.56621227</v>
      </c>
      <c r="M40" s="34">
        <f t="shared" si="17"/>
        <v>-360703918.7745747</v>
      </c>
    </row>
    <row r="41" spans="3:13" outlineLevel="1" x14ac:dyDescent="0.35">
      <c r="C41" s="47" t="s">
        <v>33</v>
      </c>
      <c r="D41" s="47"/>
      <c r="E41" s="48"/>
      <c r="F41" s="48"/>
      <c r="G41" s="53">
        <f>SUM(G32:G40)</f>
        <v>6874890</v>
      </c>
      <c r="H41" s="53">
        <f t="shared" ref="H41:M41" si="18">SUM(H32:H40)</f>
        <v>35678841</v>
      </c>
      <c r="I41" s="53">
        <f>SUM(I32:I40)</f>
        <v>121407189.63085371</v>
      </c>
      <c r="J41" s="53">
        <f t="shared" si="18"/>
        <v>193268003.1850175</v>
      </c>
      <c r="K41" s="53">
        <f t="shared" si="18"/>
        <v>309627613.79692936</v>
      </c>
      <c r="L41" s="53">
        <f t="shared" si="18"/>
        <v>510132921.88731885</v>
      </c>
      <c r="M41" s="53">
        <f t="shared" si="18"/>
        <v>864663701.33702016</v>
      </c>
    </row>
    <row r="42" spans="3:13" outlineLevel="1" x14ac:dyDescent="0.35">
      <c r="C42" s="12"/>
      <c r="D42" s="12"/>
      <c r="G42" s="35"/>
      <c r="H42" s="35"/>
    </row>
    <row r="43" spans="3:13" outlineLevel="1" x14ac:dyDescent="0.35">
      <c r="C43" s="18" t="s">
        <v>34</v>
      </c>
      <c r="D43" s="18"/>
      <c r="G43" s="35"/>
      <c r="H43" s="35"/>
    </row>
    <row r="44" spans="3:13" outlineLevel="1" x14ac:dyDescent="0.35">
      <c r="C44" s="12" t="s">
        <v>35</v>
      </c>
      <c r="D44" s="12"/>
      <c r="G44" s="35">
        <v>-7561200</v>
      </c>
      <c r="H44" s="35">
        <v>-31971595</v>
      </c>
      <c r="I44" s="31">
        <f>-Calculation!I20</f>
        <v>-43908794.8728</v>
      </c>
      <c r="J44" s="31">
        <f>-Calculation!J20</f>
        <v>-64985016.411743999</v>
      </c>
      <c r="K44" s="31">
        <f>-Calculation!K20</f>
        <v>-99427075.10996832</v>
      </c>
      <c r="L44" s="31">
        <f>-Calculation!L20</f>
        <v>-157094778.67374995</v>
      </c>
      <c r="M44" s="31">
        <f>-Calculation!M20</f>
        <v>-256064489.23821244</v>
      </c>
    </row>
    <row r="45" spans="3:13" outlineLevel="1" x14ac:dyDescent="0.35">
      <c r="C45" s="47" t="s">
        <v>33</v>
      </c>
      <c r="D45" s="47"/>
      <c r="E45" s="48"/>
      <c r="F45" s="48"/>
      <c r="G45" s="53">
        <f>SUM(G44)</f>
        <v>-7561200</v>
      </c>
      <c r="H45" s="53">
        <f>SUM(H44)</f>
        <v>-31971595</v>
      </c>
      <c r="I45" s="53">
        <f>SUM(I44)</f>
        <v>-43908794.8728</v>
      </c>
      <c r="J45" s="53">
        <f t="shared" ref="J45:M45" si="19">SUM(J44)</f>
        <v>-64985016.411743999</v>
      </c>
      <c r="K45" s="53">
        <f t="shared" si="19"/>
        <v>-99427075.10996832</v>
      </c>
      <c r="L45" s="53">
        <f t="shared" si="19"/>
        <v>-157094778.67374995</v>
      </c>
      <c r="M45" s="53">
        <f t="shared" si="19"/>
        <v>-256064489.23821244</v>
      </c>
    </row>
    <row r="46" spans="3:13" outlineLevel="1" x14ac:dyDescent="0.35">
      <c r="C46" s="12"/>
      <c r="D46" s="12"/>
      <c r="G46" s="35"/>
      <c r="H46" s="35"/>
    </row>
    <row r="47" spans="3:13" outlineLevel="1" x14ac:dyDescent="0.35">
      <c r="C47" s="18" t="s">
        <v>36</v>
      </c>
      <c r="D47" s="18"/>
      <c r="G47" s="35"/>
      <c r="H47" s="35"/>
    </row>
    <row r="48" spans="3:13" outlineLevel="1" x14ac:dyDescent="0.35">
      <c r="C48" s="12" t="s">
        <v>37</v>
      </c>
      <c r="D48" s="12"/>
      <c r="G48" s="35">
        <v>1000000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</row>
    <row r="49" spans="3:13" outlineLevel="1" x14ac:dyDescent="0.35">
      <c r="C49" s="12" t="s">
        <v>38</v>
      </c>
      <c r="D49" s="12"/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</row>
    <row r="50" spans="3:13" outlineLevel="1" x14ac:dyDescent="0.35">
      <c r="C50" s="12" t="s">
        <v>39</v>
      </c>
      <c r="D50" s="12"/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</row>
    <row r="51" spans="3:13" outlineLevel="1" x14ac:dyDescent="0.35">
      <c r="C51" s="12" t="s">
        <v>20</v>
      </c>
      <c r="D51" s="12"/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</row>
    <row r="52" spans="3:13" outlineLevel="1" x14ac:dyDescent="0.35">
      <c r="C52" s="12" t="s">
        <v>40</v>
      </c>
      <c r="D52" s="12"/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</row>
    <row r="53" spans="3:13" outlineLevel="1" x14ac:dyDescent="0.35">
      <c r="C53" s="47" t="s">
        <v>33</v>
      </c>
      <c r="D53" s="47"/>
      <c r="E53" s="48"/>
      <c r="F53" s="48"/>
      <c r="G53" s="52">
        <f>SUM(G48:G52)</f>
        <v>1000000</v>
      </c>
      <c r="H53" s="54">
        <f>SUM(H48:H52)</f>
        <v>0</v>
      </c>
      <c r="I53" s="48"/>
      <c r="J53" s="48"/>
      <c r="K53" s="48"/>
      <c r="L53" s="48"/>
      <c r="M53" s="48"/>
    </row>
    <row r="54" spans="3:13" outlineLevel="1" x14ac:dyDescent="0.35">
      <c r="C54" s="12"/>
      <c r="D54" s="12"/>
      <c r="G54" s="35"/>
      <c r="H54" s="35"/>
    </row>
    <row r="55" spans="3:13" outlineLevel="1" x14ac:dyDescent="0.35">
      <c r="C55" s="13" t="s">
        <v>41</v>
      </c>
      <c r="D55" s="13"/>
      <c r="G55" s="35">
        <f>G53+G45+G41</f>
        <v>313690</v>
      </c>
      <c r="H55" s="61">
        <f>H53+H45+H41</f>
        <v>3707246</v>
      </c>
      <c r="I55" s="61">
        <f>I53+I45+I41</f>
        <v>77498394.75805372</v>
      </c>
      <c r="J55" s="61">
        <f t="shared" ref="J55:M55" si="20">J53+J45+J41</f>
        <v>128282986.7732735</v>
      </c>
      <c r="K55" s="61">
        <f t="shared" si="20"/>
        <v>210200538.68696105</v>
      </c>
      <c r="L55" s="61">
        <f t="shared" si="20"/>
        <v>353038143.21356893</v>
      </c>
      <c r="M55" s="61">
        <f t="shared" si="20"/>
        <v>608599212.09880769</v>
      </c>
    </row>
    <row r="56" spans="3:13" outlineLevel="1" x14ac:dyDescent="0.35">
      <c r="C56" s="12" t="s">
        <v>42</v>
      </c>
      <c r="D56" s="12"/>
      <c r="G56" s="45">
        <v>0</v>
      </c>
      <c r="H56" s="61">
        <f>G57</f>
        <v>313690</v>
      </c>
      <c r="I56" s="61">
        <f t="shared" ref="I56:M56" si="21">H57</f>
        <v>4020936</v>
      </c>
      <c r="J56" s="61">
        <f t="shared" si="21"/>
        <v>81519330.75805372</v>
      </c>
      <c r="K56" s="61">
        <f t="shared" si="21"/>
        <v>209802317.53132722</v>
      </c>
      <c r="L56" s="61">
        <f t="shared" si="21"/>
        <v>420002856.2182883</v>
      </c>
      <c r="M56" s="61">
        <f t="shared" si="21"/>
        <v>773040999.43185723</v>
      </c>
    </row>
    <row r="57" spans="3:13" ht="15" outlineLevel="1" thickBot="1" x14ac:dyDescent="0.4">
      <c r="C57" s="37" t="s">
        <v>43</v>
      </c>
      <c r="D57" s="37"/>
      <c r="E57" s="38"/>
      <c r="F57" s="38"/>
      <c r="G57" s="51">
        <f t="shared" ref="G57:M57" si="22">SUM(G55:G56)</f>
        <v>313690</v>
      </c>
      <c r="H57" s="51">
        <f t="shared" si="22"/>
        <v>4020936</v>
      </c>
      <c r="I57" s="51">
        <f t="shared" si="22"/>
        <v>81519330.75805372</v>
      </c>
      <c r="J57" s="51">
        <f t="shared" si="22"/>
        <v>209802317.53132722</v>
      </c>
      <c r="K57" s="51">
        <f t="shared" si="22"/>
        <v>420002856.2182883</v>
      </c>
      <c r="L57" s="51">
        <f t="shared" si="22"/>
        <v>773040999.43185723</v>
      </c>
      <c r="M57" s="51">
        <f t="shared" si="22"/>
        <v>1381640211.5306649</v>
      </c>
    </row>
    <row r="58" spans="3:13" ht="15" outlineLevel="1" thickTop="1" x14ac:dyDescent="0.35">
      <c r="C58" s="77" t="s">
        <v>100</v>
      </c>
      <c r="D58" s="77"/>
      <c r="E58" s="78"/>
      <c r="F58" s="78"/>
      <c r="G58" s="80">
        <f>G57/$C$20</f>
        <v>261.40833333333336</v>
      </c>
      <c r="H58" s="80">
        <f>H57/$C$20</f>
        <v>3350.78</v>
      </c>
      <c r="I58" s="80">
        <f t="shared" ref="I58" si="23">I57/$C$20</f>
        <v>67932.77563171144</v>
      </c>
      <c r="J58" s="80">
        <f t="shared" ref="J58" si="24">J57/$C$20</f>
        <v>174835.26460943936</v>
      </c>
      <c r="K58" s="80">
        <f t="shared" ref="K58" si="25">K57/$C$20</f>
        <v>350002.38018190692</v>
      </c>
      <c r="L58" s="80">
        <f t="shared" ref="L58" si="26">L57/$C$20</f>
        <v>644200.83285988099</v>
      </c>
      <c r="M58" s="80">
        <f>M57/$C$20</f>
        <v>1151366.8429422209</v>
      </c>
    </row>
    <row r="59" spans="3:13" outlineLevel="1" x14ac:dyDescent="0.35">
      <c r="C59" s="81">
        <v>1200</v>
      </c>
      <c r="D59" s="77"/>
      <c r="E59" s="78"/>
      <c r="F59" s="78"/>
      <c r="G59" s="79"/>
      <c r="H59" s="79"/>
      <c r="I59" s="79"/>
      <c r="J59" s="79"/>
      <c r="K59" s="79"/>
      <c r="L59" s="79"/>
      <c r="M59" s="79"/>
    </row>
    <row r="60" spans="3:13" x14ac:dyDescent="0.35">
      <c r="G60" s="35"/>
      <c r="H60" s="35"/>
    </row>
    <row r="61" spans="3:13" ht="15" thickBot="1" x14ac:dyDescent="0.4">
      <c r="G61" s="35"/>
      <c r="H61" s="35"/>
    </row>
    <row r="62" spans="3:13" ht="15" thickBot="1" x14ac:dyDescent="0.4">
      <c r="C62" s="43" t="s">
        <v>67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</row>
    <row r="63" spans="3:13" outlineLevel="1" x14ac:dyDescent="0.35">
      <c r="G63" s="35"/>
      <c r="H63" s="35"/>
    </row>
    <row r="64" spans="3:13" outlineLevel="1" x14ac:dyDescent="0.35">
      <c r="C64" s="19" t="s">
        <v>44</v>
      </c>
      <c r="D64" s="19"/>
      <c r="G64" s="35"/>
      <c r="H64" s="35"/>
    </row>
    <row r="65" spans="3:13" outlineLevel="1" x14ac:dyDescent="0.35">
      <c r="C65" s="20" t="s">
        <v>45</v>
      </c>
      <c r="D65" s="20"/>
      <c r="G65" s="35">
        <v>6859121</v>
      </c>
      <c r="H65" s="35">
        <v>33194092</v>
      </c>
      <c r="I65" s="31">
        <f>Calculation!I21</f>
        <v>70464068.472800002</v>
      </c>
      <c r="J65" s="31">
        <f>Calculation!J21</f>
        <v>121356271.18998399</v>
      </c>
      <c r="K65" s="31">
        <f>Calculation!K21</f>
        <v>196512092.06195551</v>
      </c>
      <c r="L65" s="31">
        <f>Calculation!L21</f>
        <v>314304452.32331437</v>
      </c>
      <c r="M65" s="31">
        <f>Calculation!M21</f>
        <v>507508051.09686393</v>
      </c>
    </row>
    <row r="66" spans="3:13" outlineLevel="1" x14ac:dyDescent="0.35">
      <c r="C66" s="12"/>
      <c r="D66" s="12"/>
      <c r="G66" s="35"/>
      <c r="H66" s="35"/>
    </row>
    <row r="67" spans="3:13" outlineLevel="1" x14ac:dyDescent="0.35">
      <c r="C67" s="19" t="s">
        <v>46</v>
      </c>
      <c r="D67" s="19"/>
      <c r="G67" s="35"/>
      <c r="H67" s="35"/>
    </row>
    <row r="68" spans="3:13" outlineLevel="1" x14ac:dyDescent="0.35">
      <c r="C68" s="12" t="s">
        <v>29</v>
      </c>
      <c r="D68" s="12"/>
      <c r="G68" s="35"/>
      <c r="H68" s="35"/>
    </row>
    <row r="69" spans="3:13" outlineLevel="1" x14ac:dyDescent="0.35">
      <c r="C69" s="12" t="s">
        <v>30</v>
      </c>
      <c r="D69" s="12"/>
      <c r="G69" s="35">
        <v>5689994</v>
      </c>
      <c r="H69" s="35">
        <v>17542695</v>
      </c>
      <c r="I69" s="31">
        <f>Calculation!I24</f>
        <v>22054645.826520547</v>
      </c>
      <c r="J69" s="31">
        <f>Calculation!J24</f>
        <v>32640875.823250413</v>
      </c>
      <c r="K69" s="31">
        <f>Calculation!K24</f>
        <v>49940540.009573132</v>
      </c>
      <c r="L69" s="31">
        <f>Calculation!L24</f>
        <v>78906053.215125561</v>
      </c>
      <c r="M69" s="31">
        <f>Calculation!M24</f>
        <v>128616866.74065466</v>
      </c>
    </row>
    <row r="70" spans="3:13" outlineLevel="1" x14ac:dyDescent="0.35">
      <c r="C70" s="12" t="s">
        <v>47</v>
      </c>
      <c r="D70" s="12"/>
      <c r="G70" s="35">
        <v>313691</v>
      </c>
      <c r="H70" s="35">
        <v>1546060</v>
      </c>
      <c r="I70" s="31">
        <f>I57</f>
        <v>81519330.75805372</v>
      </c>
      <c r="J70" s="31">
        <f t="shared" ref="J70:M70" si="27">J57</f>
        <v>209802317.53132722</v>
      </c>
      <c r="K70" s="31">
        <f t="shared" si="27"/>
        <v>420002856.2182883</v>
      </c>
      <c r="L70" s="31">
        <f t="shared" si="27"/>
        <v>773040999.43185723</v>
      </c>
      <c r="M70" s="31">
        <f t="shared" si="27"/>
        <v>1381640211.5306649</v>
      </c>
    </row>
    <row r="71" spans="3:13" ht="15" outlineLevel="1" thickBot="1" x14ac:dyDescent="0.4">
      <c r="C71" s="37" t="s">
        <v>48</v>
      </c>
      <c r="D71" s="37"/>
      <c r="E71" s="38"/>
      <c r="F71" s="38"/>
      <c r="G71" s="51">
        <f>SUM(G69:G70)</f>
        <v>6003685</v>
      </c>
      <c r="H71" s="51">
        <f>SUM(H69:H70)</f>
        <v>19088755</v>
      </c>
      <c r="I71" s="51">
        <f t="shared" ref="I71:M71" si="28">SUM(I69:I70)</f>
        <v>103573976.58457427</v>
      </c>
      <c r="J71" s="51">
        <f t="shared" si="28"/>
        <v>242443193.35457763</v>
      </c>
      <c r="K71" s="51">
        <f t="shared" si="28"/>
        <v>469943396.2278614</v>
      </c>
      <c r="L71" s="51">
        <f t="shared" si="28"/>
        <v>851947052.64698279</v>
      </c>
      <c r="M71" s="51">
        <f t="shared" si="28"/>
        <v>1510257078.2713196</v>
      </c>
    </row>
    <row r="72" spans="3:13" ht="15" outlineLevel="1" thickTop="1" x14ac:dyDescent="0.35">
      <c r="C72" s="21"/>
      <c r="D72" s="21"/>
      <c r="G72" s="35"/>
      <c r="H72" s="35"/>
    </row>
    <row r="73" spans="3:13" ht="15" outlineLevel="1" thickBot="1" x14ac:dyDescent="0.4">
      <c r="C73" s="37" t="s">
        <v>49</v>
      </c>
      <c r="D73" s="37"/>
      <c r="E73" s="41"/>
      <c r="F73" s="41"/>
      <c r="G73" s="55">
        <f>G65+G71</f>
        <v>12862806</v>
      </c>
      <c r="H73" s="55">
        <f>H65+H71</f>
        <v>52282847</v>
      </c>
      <c r="I73" s="55">
        <f t="shared" ref="I73:M73" si="29">I65+I71</f>
        <v>174038045.05737427</v>
      </c>
      <c r="J73" s="55">
        <f t="shared" si="29"/>
        <v>363799464.54456162</v>
      </c>
      <c r="K73" s="55">
        <f t="shared" si="29"/>
        <v>666455488.28981686</v>
      </c>
      <c r="L73" s="55">
        <f t="shared" si="29"/>
        <v>1166251504.9702971</v>
      </c>
      <c r="M73" s="55">
        <f t="shared" si="29"/>
        <v>2017765129.3681836</v>
      </c>
    </row>
    <row r="74" spans="3:13" ht="15" outlineLevel="1" thickTop="1" x14ac:dyDescent="0.35">
      <c r="C74" s="77" t="s">
        <v>100</v>
      </c>
      <c r="D74" s="77"/>
      <c r="E74" s="78"/>
      <c r="F74" s="78"/>
      <c r="G74" s="80">
        <f>G73/$C$20</f>
        <v>10719.004999999999</v>
      </c>
      <c r="H74" s="80">
        <f>H73/$C$20</f>
        <v>43569.039166666669</v>
      </c>
      <c r="I74" s="80">
        <f t="shared" ref="I74" si="30">I73/$C$20</f>
        <v>145031.70421447855</v>
      </c>
      <c r="J74" s="80">
        <f t="shared" ref="J74" si="31">J73/$C$20</f>
        <v>303166.22045380133</v>
      </c>
      <c r="K74" s="80">
        <f t="shared" ref="K74" si="32">K73/$C$20</f>
        <v>555379.57357484743</v>
      </c>
      <c r="L74" s="80">
        <f t="shared" ref="L74" si="33">L73/$C$20</f>
        <v>971876.25414191419</v>
      </c>
      <c r="M74" s="80">
        <f>M73/$C$20</f>
        <v>1681470.941140153</v>
      </c>
    </row>
    <row r="75" spans="3:13" outlineLevel="1" x14ac:dyDescent="0.35">
      <c r="C75" s="81">
        <v>1200</v>
      </c>
      <c r="D75" s="77"/>
      <c r="E75" s="78"/>
      <c r="F75" s="78"/>
      <c r="G75" s="79"/>
      <c r="H75" s="79"/>
      <c r="I75" s="79"/>
      <c r="J75" s="79"/>
      <c r="K75" s="79"/>
      <c r="L75" s="79"/>
      <c r="M75" s="79"/>
    </row>
    <row r="76" spans="3:13" outlineLevel="1" x14ac:dyDescent="0.35">
      <c r="C76" s="12"/>
      <c r="D76" s="12"/>
      <c r="G76" s="35"/>
      <c r="H76" s="35"/>
    </row>
    <row r="77" spans="3:13" outlineLevel="1" x14ac:dyDescent="0.35">
      <c r="C77" s="19" t="s">
        <v>50</v>
      </c>
      <c r="D77" s="19"/>
      <c r="G77" s="35"/>
      <c r="H77" s="35"/>
    </row>
    <row r="78" spans="3:13" outlineLevel="1" x14ac:dyDescent="0.35">
      <c r="C78" s="20" t="s">
        <v>51</v>
      </c>
      <c r="D78" s="20"/>
      <c r="G78" s="45">
        <v>0</v>
      </c>
      <c r="H78" s="45">
        <v>0</v>
      </c>
    </row>
    <row r="79" spans="3:13" outlineLevel="1" x14ac:dyDescent="0.35">
      <c r="C79" s="12"/>
      <c r="D79" s="12"/>
      <c r="G79" s="35"/>
      <c r="H79" s="35"/>
    </row>
    <row r="80" spans="3:13" outlineLevel="1" x14ac:dyDescent="0.35">
      <c r="C80" s="18" t="s">
        <v>52</v>
      </c>
      <c r="D80" s="18"/>
      <c r="G80" s="35"/>
      <c r="H80" s="35"/>
    </row>
    <row r="81" spans="3:13" outlineLevel="1" x14ac:dyDescent="0.35">
      <c r="C81" s="12" t="s">
        <v>64</v>
      </c>
      <c r="D81" s="12"/>
      <c r="G81" s="35">
        <v>124</v>
      </c>
      <c r="H81" s="45">
        <v>0</v>
      </c>
      <c r="I81" s="31">
        <f>-I40</f>
        <v>52116784.043760009</v>
      </c>
      <c r="J81" s="31">
        <f t="shared" ref="J81:M81" si="34">-J40</f>
        <v>79914195.171730787</v>
      </c>
      <c r="K81" s="31">
        <f t="shared" si="34"/>
        <v>127670136.02152517</v>
      </c>
      <c r="L81" s="31">
        <f t="shared" si="34"/>
        <v>211251087.56621227</v>
      </c>
      <c r="M81" s="31">
        <f t="shared" si="34"/>
        <v>360703918.7745747</v>
      </c>
    </row>
    <row r="82" spans="3:13" outlineLevel="1" x14ac:dyDescent="0.35">
      <c r="C82" s="12" t="s">
        <v>31</v>
      </c>
      <c r="D82" s="12"/>
      <c r="G82" s="35">
        <v>9387929</v>
      </c>
      <c r="H82" s="35">
        <v>12250098</v>
      </c>
      <c r="I82" s="31">
        <f>Calculation!I25</f>
        <v>9924590.6219342463</v>
      </c>
      <c r="J82" s="31">
        <f>Calculation!J25</f>
        <v>13219554.708416419</v>
      </c>
      <c r="K82" s="31">
        <f>Calculation!K25</f>
        <v>17978594.403446328</v>
      </c>
      <c r="L82" s="31">
        <f>Calculation!L25</f>
        <v>24855406.762764554</v>
      </c>
      <c r="M82" s="31">
        <f>Calculation!M25</f>
        <v>34726554.019976757</v>
      </c>
    </row>
    <row r="83" spans="3:13" outlineLevel="1" x14ac:dyDescent="0.35">
      <c r="C83" s="17" t="s">
        <v>53</v>
      </c>
      <c r="D83" s="17"/>
      <c r="G83" s="35"/>
      <c r="H83" s="35"/>
    </row>
    <row r="84" spans="3:13" outlineLevel="1" x14ac:dyDescent="0.35">
      <c r="C84" s="21"/>
      <c r="D84" s="21"/>
      <c r="G84" s="35"/>
      <c r="H84" s="35"/>
    </row>
    <row r="85" spans="3:13" ht="15" outlineLevel="1" thickBot="1" x14ac:dyDescent="0.4">
      <c r="C85" s="40" t="s">
        <v>54</v>
      </c>
      <c r="D85" s="40"/>
      <c r="E85" s="38"/>
      <c r="F85" s="38"/>
      <c r="G85" s="51">
        <f>SUM(G82:G84)</f>
        <v>9387929</v>
      </c>
      <c r="H85" s="51">
        <f t="shared" ref="H85" si="35">SUM(H82:H84)</f>
        <v>12250098</v>
      </c>
      <c r="I85" s="51">
        <f>SUM(I82:I84)</f>
        <v>9924590.6219342463</v>
      </c>
      <c r="J85" s="51">
        <f>SUM(J82:J84)</f>
        <v>13219554.708416419</v>
      </c>
      <c r="K85" s="51">
        <f>SUM(K82:K84)</f>
        <v>17978594.403446328</v>
      </c>
      <c r="L85" s="51">
        <f>SUM(L82:L84)</f>
        <v>24855406.762764554</v>
      </c>
      <c r="M85" s="51">
        <f>SUM(M82:M84)</f>
        <v>34726554.019976757</v>
      </c>
    </row>
    <row r="86" spans="3:13" ht="15" outlineLevel="1" thickTop="1" x14ac:dyDescent="0.35">
      <c r="C86" s="12"/>
      <c r="D86" s="12"/>
      <c r="G86" s="35"/>
      <c r="H86" s="35"/>
    </row>
    <row r="87" spans="3:13" outlineLevel="1" x14ac:dyDescent="0.35">
      <c r="C87" s="18" t="s">
        <v>55</v>
      </c>
      <c r="D87" s="18"/>
      <c r="G87" s="35"/>
      <c r="H87" s="35"/>
      <c r="J87" t="s">
        <v>13</v>
      </c>
    </row>
    <row r="88" spans="3:13" outlineLevel="1" x14ac:dyDescent="0.35">
      <c r="C88" s="12" t="s">
        <v>56</v>
      </c>
      <c r="D88" s="12"/>
      <c r="G88" s="35">
        <v>1000000</v>
      </c>
      <c r="H88" s="35">
        <v>1000000</v>
      </c>
      <c r="I88" s="35">
        <v>1000000</v>
      </c>
      <c r="J88" s="35">
        <v>1000000</v>
      </c>
      <c r="K88" s="35">
        <v>1000000</v>
      </c>
      <c r="L88" s="35">
        <v>1000000</v>
      </c>
      <c r="M88" s="35">
        <v>1000000</v>
      </c>
    </row>
    <row r="89" spans="3:13" outlineLevel="1" x14ac:dyDescent="0.35">
      <c r="C89" s="12" t="s">
        <v>57</v>
      </c>
      <c r="D89" s="12"/>
      <c r="G89" s="35">
        <v>2474877</v>
      </c>
      <c r="H89" s="35">
        <v>39032749</v>
      </c>
      <c r="I89" s="31">
        <f>I25</f>
        <v>163113454.43544003</v>
      </c>
      <c r="J89" s="31">
        <f t="shared" ref="J89:M89" si="36">J25</f>
        <v>349579909.83614522</v>
      </c>
      <c r="K89" s="31">
        <f t="shared" si="36"/>
        <v>647476893.88637066</v>
      </c>
      <c r="L89" s="31">
        <f t="shared" si="36"/>
        <v>1140396098.2075326</v>
      </c>
      <c r="M89" s="31">
        <f t="shared" si="36"/>
        <v>1982038575.348207</v>
      </c>
    </row>
    <row r="90" spans="3:13" outlineLevel="1" x14ac:dyDescent="0.35">
      <c r="C90" s="22" t="s">
        <v>58</v>
      </c>
      <c r="D90" s="22"/>
      <c r="G90" s="35">
        <f>SUM(G88:G89)</f>
        <v>3474877</v>
      </c>
      <c r="H90" s="35">
        <f>SUM(H88:H89)</f>
        <v>40032749</v>
      </c>
      <c r="I90" s="31">
        <f>SUM(I88:I89)</f>
        <v>164113454.43544003</v>
      </c>
      <c r="J90" s="31">
        <f t="shared" ref="J90:M90" si="37">SUM(J88:J89)</f>
        <v>350579909.83614522</v>
      </c>
      <c r="K90" s="31">
        <f t="shared" si="37"/>
        <v>648476893.88637066</v>
      </c>
      <c r="L90" s="31">
        <f t="shared" si="37"/>
        <v>1141396098.2075326</v>
      </c>
      <c r="M90" s="31">
        <f t="shared" si="37"/>
        <v>1983038575.348207</v>
      </c>
    </row>
    <row r="91" spans="3:13" outlineLevel="1" x14ac:dyDescent="0.35">
      <c r="C91" s="12"/>
      <c r="D91" s="12"/>
      <c r="G91" s="35"/>
      <c r="H91" s="35"/>
    </row>
    <row r="92" spans="3:13" ht="15" outlineLevel="1" thickBot="1" x14ac:dyDescent="0.4">
      <c r="C92" s="37" t="s">
        <v>59</v>
      </c>
      <c r="D92" s="37"/>
      <c r="E92" s="41"/>
      <c r="F92" s="41"/>
      <c r="G92" s="55">
        <f>G85+G90</f>
        <v>12862806</v>
      </c>
      <c r="H92" s="55">
        <f t="shared" ref="H92:M92" si="38">H85+H90</f>
        <v>52282847</v>
      </c>
      <c r="I92" s="55">
        <f>I85+I90</f>
        <v>174038045.05737427</v>
      </c>
      <c r="J92" s="55">
        <f t="shared" si="38"/>
        <v>363799464.54456162</v>
      </c>
      <c r="K92" s="55">
        <f t="shared" si="38"/>
        <v>666455488.28981698</v>
      </c>
      <c r="L92" s="55">
        <f t="shared" si="38"/>
        <v>1166251504.9702971</v>
      </c>
      <c r="M92" s="55">
        <f t="shared" si="38"/>
        <v>2017765129.3681839</v>
      </c>
    </row>
    <row r="93" spans="3:13" ht="15" outlineLevel="1" thickTop="1" x14ac:dyDescent="0.35">
      <c r="C93" s="77" t="s">
        <v>100</v>
      </c>
      <c r="D93" s="77"/>
      <c r="E93" s="78"/>
      <c r="F93" s="78"/>
      <c r="G93" s="80">
        <f>G92/$C$20</f>
        <v>10719.004999999999</v>
      </c>
      <c r="H93" s="80">
        <f>H92/$C$20</f>
        <v>43569.039166666669</v>
      </c>
      <c r="I93" s="80">
        <f t="shared" ref="I93" si="39">I92/$C$20</f>
        <v>145031.70421447855</v>
      </c>
      <c r="J93" s="80">
        <f t="shared" ref="J93" si="40">J92/$C$20</f>
        <v>303166.22045380133</v>
      </c>
      <c r="K93" s="80">
        <f t="shared" ref="K93" si="41">K92/$C$20</f>
        <v>555379.57357484743</v>
      </c>
      <c r="L93" s="80">
        <f t="shared" ref="L93" si="42">L92/$C$20</f>
        <v>971876.25414191419</v>
      </c>
      <c r="M93" s="80">
        <f>M92/$C$20</f>
        <v>1681470.9411401532</v>
      </c>
    </row>
    <row r="94" spans="3:13" outlineLevel="1" x14ac:dyDescent="0.35">
      <c r="C94" s="81">
        <v>1200</v>
      </c>
      <c r="D94" s="77"/>
      <c r="E94" s="78"/>
      <c r="F94" s="78"/>
      <c r="G94" s="79"/>
      <c r="H94" s="79"/>
      <c r="I94" s="79"/>
      <c r="J94" s="79"/>
      <c r="K94" s="79"/>
      <c r="L94" s="79"/>
      <c r="M94" s="79"/>
    </row>
    <row r="95" spans="3:13" outlineLevel="1" x14ac:dyDescent="0.35"/>
    <row r="96" spans="3:13" outlineLevel="1" x14ac:dyDescent="0.35">
      <c r="C96" s="12" t="s">
        <v>65</v>
      </c>
      <c r="G96" s="61">
        <f t="shared" ref="G96:M96" si="43">G73-G92</f>
        <v>0</v>
      </c>
      <c r="H96" s="82">
        <f t="shared" si="43"/>
        <v>0</v>
      </c>
      <c r="I96" s="61">
        <f t="shared" si="43"/>
        <v>0</v>
      </c>
      <c r="J96" s="61">
        <f t="shared" si="43"/>
        <v>0</v>
      </c>
      <c r="K96" s="61">
        <f t="shared" si="43"/>
        <v>0</v>
      </c>
      <c r="L96" s="61">
        <f t="shared" si="43"/>
        <v>0</v>
      </c>
      <c r="M96" s="61">
        <f t="shared" si="43"/>
        <v>0</v>
      </c>
    </row>
    <row r="97" spans="10:12" outlineLevel="1" x14ac:dyDescent="0.35"/>
    <row r="99" spans="10:12" x14ac:dyDescent="0.35">
      <c r="J99" s="31"/>
    </row>
    <row r="100" spans="10:12" x14ac:dyDescent="0.35">
      <c r="L100" t="s">
        <v>13</v>
      </c>
    </row>
    <row r="101" spans="10:12" x14ac:dyDescent="0.35">
      <c r="J101" s="31"/>
    </row>
  </sheetData>
  <pageMargins left="0.7" right="0.7" top="0.75" bottom="0.75" header="0.3" footer="0.3"/>
  <ignoredErrors>
    <ignoredError sqref="G85:H85" formulaRange="1"/>
    <ignoredError sqref="I17:M1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0C1F0-CAE2-4A9B-8DC7-9ECB7A8F3987}">
  <dimension ref="A1:N28"/>
  <sheetViews>
    <sheetView showGridLines="0" zoomScale="90" zoomScaleNormal="90" workbookViewId="0">
      <pane xSplit="2" ySplit="3" topLeftCell="C5" activePane="bottomRight" state="frozen"/>
      <selection pane="topRight" activeCell="C1" sqref="C1"/>
      <selection pane="bottomLeft" activeCell="A4" sqref="A4"/>
      <selection pane="bottomRight" activeCell="N13" sqref="N13"/>
    </sheetView>
  </sheetViews>
  <sheetFormatPr defaultColWidth="0" defaultRowHeight="14.5" x14ac:dyDescent="0.35"/>
  <cols>
    <col min="1" max="1" width="2.1796875" customWidth="1"/>
    <col min="2" max="2" width="3.7265625" customWidth="1"/>
    <col min="3" max="3" width="29.453125" customWidth="1"/>
    <col min="4" max="6" width="3.1796875" customWidth="1"/>
    <col min="7" max="13" width="12.7265625" customWidth="1"/>
    <col min="14" max="14" width="9.1796875" customWidth="1"/>
    <col min="15" max="16384" width="9.1796875" hidden="1"/>
  </cols>
  <sheetData>
    <row r="1" spans="1:13" ht="18.5" x14ac:dyDescent="0.45">
      <c r="A1" s="28" t="s">
        <v>10</v>
      </c>
      <c r="B1" s="28"/>
      <c r="C1" s="24"/>
      <c r="D1" s="25"/>
      <c r="E1" s="25"/>
      <c r="F1" s="25"/>
      <c r="G1" s="26">
        <v>2022</v>
      </c>
      <c r="H1" s="26">
        <f>G1+1</f>
        <v>2023</v>
      </c>
      <c r="I1" s="27">
        <f t="shared" ref="I1:M1" si="0">H1+1</f>
        <v>2024</v>
      </c>
      <c r="J1" s="27">
        <f t="shared" si="0"/>
        <v>2025</v>
      </c>
      <c r="K1" s="27">
        <f t="shared" si="0"/>
        <v>2026</v>
      </c>
      <c r="L1" s="27">
        <f t="shared" si="0"/>
        <v>2027</v>
      </c>
      <c r="M1" s="27">
        <f t="shared" si="0"/>
        <v>2028</v>
      </c>
    </row>
    <row r="2" spans="1:13" ht="18.5" x14ac:dyDescent="0.45">
      <c r="A2" s="29" t="s">
        <v>12</v>
      </c>
      <c r="B2" s="29"/>
      <c r="C2" s="7"/>
      <c r="D2" s="8"/>
      <c r="E2" s="8"/>
      <c r="F2" s="8"/>
      <c r="G2" s="11">
        <v>44562</v>
      </c>
      <c r="H2" s="11">
        <v>44927</v>
      </c>
      <c r="I2" s="11">
        <v>45292</v>
      </c>
      <c r="J2" s="11">
        <v>45658</v>
      </c>
      <c r="K2" s="11">
        <v>46023</v>
      </c>
      <c r="L2" s="11">
        <v>46388</v>
      </c>
      <c r="M2" s="11">
        <v>46753</v>
      </c>
    </row>
    <row r="3" spans="1:13" ht="18.5" x14ac:dyDescent="0.45">
      <c r="A3" s="29" t="s">
        <v>11</v>
      </c>
      <c r="B3" s="29"/>
      <c r="C3" s="7"/>
      <c r="D3" s="8"/>
      <c r="E3" s="8"/>
      <c r="F3" s="8"/>
      <c r="G3" s="11">
        <v>44926</v>
      </c>
      <c r="H3" s="11">
        <v>45291</v>
      </c>
      <c r="I3" s="11">
        <v>45657</v>
      </c>
      <c r="J3" s="11">
        <v>46022</v>
      </c>
      <c r="K3" s="11">
        <v>46387</v>
      </c>
      <c r="L3" s="11">
        <v>46752</v>
      </c>
      <c r="M3" s="11">
        <v>47118</v>
      </c>
    </row>
    <row r="4" spans="1:13" ht="15" thickBot="1" x14ac:dyDescent="0.4"/>
    <row r="5" spans="1:13" ht="15" thickBot="1" x14ac:dyDescent="0.4">
      <c r="C5" s="43" t="s">
        <v>72</v>
      </c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x14ac:dyDescent="0.35">
      <c r="C6" t="s">
        <v>79</v>
      </c>
      <c r="G6" s="56">
        <f>input!G9</f>
        <v>0</v>
      </c>
      <c r="H6" s="56">
        <f>input!H9</f>
        <v>0.43</v>
      </c>
      <c r="I6" s="60">
        <f>input!I9</f>
        <v>0.43</v>
      </c>
      <c r="J6" s="60">
        <f>input!J9</f>
        <v>0.48</v>
      </c>
      <c r="K6" s="60">
        <f>input!K9</f>
        <v>0.53</v>
      </c>
      <c r="L6" s="60">
        <f>input!L9</f>
        <v>0.58000000000000007</v>
      </c>
      <c r="M6" s="60">
        <f>input!M9</f>
        <v>0.63000000000000012</v>
      </c>
    </row>
    <row r="7" spans="1:13" ht="15" thickBot="1" x14ac:dyDescent="0.4">
      <c r="C7" t="s">
        <v>13</v>
      </c>
    </row>
    <row r="8" spans="1:13" ht="15" thickBot="1" x14ac:dyDescent="0.4">
      <c r="C8" s="43" t="s">
        <v>74</v>
      </c>
      <c r="D8" s="43"/>
      <c r="E8" s="43"/>
      <c r="F8" s="43"/>
      <c r="G8" s="43"/>
      <c r="H8" s="43"/>
      <c r="I8" s="43"/>
      <c r="J8" s="43"/>
      <c r="K8" s="43"/>
      <c r="L8" s="43"/>
      <c r="M8" s="43"/>
    </row>
    <row r="9" spans="1:13" x14ac:dyDescent="0.35">
      <c r="C9" t="s">
        <v>80</v>
      </c>
      <c r="G9" s="56">
        <f>input!G12</f>
        <v>0</v>
      </c>
      <c r="H9" s="56">
        <f>input!H12</f>
        <v>0.3</v>
      </c>
      <c r="I9" s="60">
        <f>input!I12</f>
        <v>0.3</v>
      </c>
      <c r="J9" s="60">
        <f>input!J12</f>
        <v>0.27</v>
      </c>
      <c r="K9" s="60">
        <f>input!K12</f>
        <v>0.24000000000000002</v>
      </c>
      <c r="L9" s="60">
        <f>input!L12</f>
        <v>0.21000000000000002</v>
      </c>
      <c r="M9" s="60">
        <f>input!M12</f>
        <v>0.18000000000000002</v>
      </c>
    </row>
    <row r="10" spans="1:13" ht="15" thickBot="1" x14ac:dyDescent="0.4"/>
    <row r="11" spans="1:13" ht="15" thickBot="1" x14ac:dyDescent="0.4">
      <c r="C11" s="43" t="s">
        <v>82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</row>
    <row r="12" spans="1:13" x14ac:dyDescent="0.35">
      <c r="C12" t="s">
        <v>80</v>
      </c>
      <c r="G12" s="39">
        <f>input!G16</f>
        <v>0</v>
      </c>
      <c r="H12" s="39">
        <f>input!H16</f>
        <v>0</v>
      </c>
      <c r="I12" s="60">
        <f>input!I16</f>
        <v>0.02</v>
      </c>
      <c r="J12" s="60">
        <f>input!J16</f>
        <v>2.5000000000000001E-2</v>
      </c>
      <c r="K12" s="60">
        <f>input!K16</f>
        <v>3.0000000000000002E-2</v>
      </c>
      <c r="L12" s="60">
        <f>input!L16</f>
        <v>3.5000000000000003E-2</v>
      </c>
      <c r="M12" s="60">
        <f>input!M16</f>
        <v>0.04</v>
      </c>
    </row>
    <row r="13" spans="1:13" ht="15" thickBot="1" x14ac:dyDescent="0.4"/>
    <row r="14" spans="1:13" ht="15" thickBot="1" x14ac:dyDescent="0.4">
      <c r="C14" s="43" t="s">
        <v>81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</row>
    <row r="15" spans="1:13" x14ac:dyDescent="0.35">
      <c r="C15" t="s">
        <v>80</v>
      </c>
      <c r="G15" s="56">
        <f>input!G20</f>
        <v>-0.41662982742455484</v>
      </c>
      <c r="H15" s="56">
        <f>input!H20</f>
        <v>-0.18708344676270469</v>
      </c>
      <c r="I15" s="60">
        <f>input!I20</f>
        <v>-0.18708344676270469</v>
      </c>
      <c r="J15" s="60">
        <f>input!J20</f>
        <v>-0.18708344676270469</v>
      </c>
      <c r="K15" s="60">
        <f>input!K20</f>
        <v>-0.18708344676270469</v>
      </c>
      <c r="L15" s="60">
        <f>input!L20</f>
        <v>-0.18708344676270469</v>
      </c>
      <c r="M15" s="60">
        <f>input!M20</f>
        <v>-0.18708344676270469</v>
      </c>
    </row>
    <row r="16" spans="1:13" ht="15" thickBot="1" x14ac:dyDescent="0.4"/>
    <row r="17" spans="3:13" ht="15" thickBot="1" x14ac:dyDescent="0.4">
      <c r="C17" s="43" t="s">
        <v>89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</row>
    <row r="18" spans="3:13" x14ac:dyDescent="0.35">
      <c r="C18" t="s">
        <v>90</v>
      </c>
      <c r="I18" s="69">
        <f>H21</f>
        <v>33194092</v>
      </c>
      <c r="J18" s="69">
        <f t="shared" ref="J18:M18" si="1">I21</f>
        <v>70464068.472800002</v>
      </c>
      <c r="K18" s="69">
        <f t="shared" si="1"/>
        <v>121356271.18998399</v>
      </c>
      <c r="L18" s="69">
        <f t="shared" si="1"/>
        <v>196512092.06195551</v>
      </c>
      <c r="M18" s="69">
        <f t="shared" si="1"/>
        <v>314304452.32331437</v>
      </c>
    </row>
    <row r="19" spans="3:13" x14ac:dyDescent="0.35">
      <c r="C19" t="s">
        <v>27</v>
      </c>
      <c r="I19" s="69">
        <f>-input!$H$27*Calculation!I18</f>
        <v>-6638818.4000000004</v>
      </c>
      <c r="J19" s="69">
        <f>-input!$H$27*Calculation!J18</f>
        <v>-14092813.694560001</v>
      </c>
      <c r="K19" s="69">
        <f>-input!$H$27*Calculation!K18</f>
        <v>-24271254.237996802</v>
      </c>
      <c r="L19" s="69">
        <f>-input!$H$27*Calculation!L18</f>
        <v>-39302418.412391104</v>
      </c>
      <c r="M19" s="69">
        <f>-input!$H$27*Calculation!M18</f>
        <v>-62860890.46466288</v>
      </c>
    </row>
    <row r="20" spans="3:13" x14ac:dyDescent="0.35">
      <c r="C20" t="s">
        <v>91</v>
      </c>
      <c r="I20" s="69">
        <f>input!$G$30*Output!I5</f>
        <v>43908794.8728</v>
      </c>
      <c r="J20" s="69">
        <f>input!$G$30*Output!J5</f>
        <v>64985016.411743999</v>
      </c>
      <c r="K20" s="69">
        <f>input!$G$30*Output!K5</f>
        <v>99427075.10996832</v>
      </c>
      <c r="L20" s="69">
        <f>input!$G$30*Output!L5</f>
        <v>157094778.67374995</v>
      </c>
      <c r="M20" s="69">
        <f>input!$G$30*Output!M5</f>
        <v>256064489.23821244</v>
      </c>
    </row>
    <row r="21" spans="3:13" ht="15" thickBot="1" x14ac:dyDescent="0.4">
      <c r="C21" s="38" t="s">
        <v>92</v>
      </c>
      <c r="D21" s="38"/>
      <c r="E21" s="38"/>
      <c r="F21" s="38"/>
      <c r="G21" s="38"/>
      <c r="H21" s="44">
        <f>Output!H65</f>
        <v>33194092</v>
      </c>
      <c r="I21" s="70">
        <f>SUM(I18:I20)</f>
        <v>70464068.472800002</v>
      </c>
      <c r="J21" s="70">
        <f>SUM(J18:J20)</f>
        <v>121356271.18998399</v>
      </c>
      <c r="K21" s="70">
        <f>SUM(K18:K20)</f>
        <v>196512092.06195551</v>
      </c>
      <c r="L21" s="70">
        <f>SUM(L18:L20)</f>
        <v>314304452.32331437</v>
      </c>
      <c r="M21" s="70">
        <f>SUM(M18:M20)</f>
        <v>507508051.09686393</v>
      </c>
    </row>
    <row r="22" spans="3:13" ht="15.5" thickTop="1" thickBot="1" x14ac:dyDescent="0.4"/>
    <row r="23" spans="3:13" ht="15" thickBot="1" x14ac:dyDescent="0.4">
      <c r="C23" s="43" t="s">
        <v>94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</row>
    <row r="24" spans="3:13" x14ac:dyDescent="0.35">
      <c r="C24" t="s">
        <v>30</v>
      </c>
      <c r="G24" s="30">
        <f>input!G33/input!$G$5*Output!G5</f>
        <v>5689994</v>
      </c>
      <c r="H24" s="30">
        <f>input!H33/input!$G$5*Output!H5</f>
        <v>17542695</v>
      </c>
      <c r="I24" s="69">
        <f>input!I33/input!$G$5*Output!I5</f>
        <v>22054645.826520547</v>
      </c>
      <c r="J24" s="69">
        <f>input!J33/input!$G$5*Output!J5</f>
        <v>32640875.823250413</v>
      </c>
      <c r="K24" s="69">
        <f>input!K33/input!$G$5*Output!K5</f>
        <v>49940540.009573132</v>
      </c>
      <c r="L24" s="69">
        <f>input!L33/input!$G$5*Output!L5</f>
        <v>78906053.215125561</v>
      </c>
      <c r="M24" s="69">
        <f>input!M33/input!$G$5*Output!M5</f>
        <v>128616866.74065466</v>
      </c>
    </row>
    <row r="25" spans="3:13" x14ac:dyDescent="0.35">
      <c r="C25" t="s">
        <v>95</v>
      </c>
      <c r="G25" s="30">
        <f>input!G34/input!$G$5*-Output!G6</f>
        <v>9387929</v>
      </c>
      <c r="H25" s="30">
        <f>input!H34/input!$G$5*-Output!H6</f>
        <v>12250098</v>
      </c>
      <c r="I25" s="69">
        <f>input!I34/input!$G$5*-Output!I6</f>
        <v>9924590.6219342463</v>
      </c>
      <c r="J25" s="69">
        <f>input!J34/input!$G$5*-Output!J6</f>
        <v>13219554.708416419</v>
      </c>
      <c r="K25" s="69">
        <f>input!K34/input!$G$5*-Output!K6</f>
        <v>17978594.403446328</v>
      </c>
      <c r="L25" s="69">
        <f>input!L34/input!$G$5*-Output!L6</f>
        <v>24855406.762764554</v>
      </c>
      <c r="M25" s="69">
        <f>input!M34/input!$G$5*-Output!M6</f>
        <v>34726554.019976757</v>
      </c>
    </row>
    <row r="26" spans="3:13" x14ac:dyDescent="0.35">
      <c r="I26" s="69"/>
      <c r="J26" s="69"/>
      <c r="K26" s="69"/>
      <c r="L26" s="69"/>
      <c r="M26" s="69"/>
    </row>
    <row r="27" spans="3:13" ht="15" thickBot="1" x14ac:dyDescent="0.4">
      <c r="C27" s="38" t="s">
        <v>96</v>
      </c>
      <c r="D27" s="38"/>
      <c r="E27" s="38"/>
      <c r="F27" s="38"/>
      <c r="G27" s="44">
        <f>(F24-G24)+(G25-F25)</f>
        <v>3697935</v>
      </c>
      <c r="H27" s="44">
        <f t="shared" ref="H27:M27" si="2">(G24-H24)+(H25-G25)</f>
        <v>-8990532</v>
      </c>
      <c r="I27" s="70">
        <f t="shared" si="2"/>
        <v>-6837458.204586301</v>
      </c>
      <c r="J27" s="70">
        <f t="shared" si="2"/>
        <v>-7291265.9102476928</v>
      </c>
      <c r="K27" s="70">
        <f t="shared" si="2"/>
        <v>-12540624.49129281</v>
      </c>
      <c r="L27" s="70">
        <f t="shared" si="2"/>
        <v>-22088700.846234202</v>
      </c>
      <c r="M27" s="70">
        <f t="shared" si="2"/>
        <v>-39839666.268316895</v>
      </c>
    </row>
    <row r="28" spans="3:13" ht="15" thickTop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09BE-98BE-4FE0-BEB9-A38DD6BF8440}">
  <dimension ref="A1:O34"/>
  <sheetViews>
    <sheetView showGridLines="0"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30" activeCellId="1" sqref="H30 G30"/>
    </sheetView>
  </sheetViews>
  <sheetFormatPr defaultColWidth="0" defaultRowHeight="14.5" x14ac:dyDescent="0.35"/>
  <cols>
    <col min="1" max="1" width="2.1796875" customWidth="1"/>
    <col min="2" max="2" width="1.81640625" customWidth="1"/>
    <col min="3" max="3" width="34.26953125" bestFit="1" customWidth="1"/>
    <col min="4" max="6" width="3.1796875" customWidth="1"/>
    <col min="7" max="13" width="12.7265625" customWidth="1"/>
    <col min="14" max="14" width="9.1796875" customWidth="1"/>
    <col min="15" max="15" width="0" hidden="1" customWidth="1"/>
    <col min="16" max="16384" width="9.1796875" hidden="1"/>
  </cols>
  <sheetData>
    <row r="1" spans="1:13" ht="18.5" x14ac:dyDescent="0.45">
      <c r="A1" s="28" t="s">
        <v>10</v>
      </c>
      <c r="B1" s="28"/>
      <c r="C1" s="24"/>
      <c r="D1" s="25"/>
      <c r="E1" s="25"/>
      <c r="F1" s="25"/>
      <c r="G1" s="26">
        <v>2022</v>
      </c>
      <c r="H1" s="26">
        <f>G1+1</f>
        <v>2023</v>
      </c>
      <c r="I1" s="27">
        <f t="shared" ref="I1:M1" si="0">H1+1</f>
        <v>2024</v>
      </c>
      <c r="J1" s="27">
        <f t="shared" si="0"/>
        <v>2025</v>
      </c>
      <c r="K1" s="27">
        <f t="shared" si="0"/>
        <v>2026</v>
      </c>
      <c r="L1" s="27">
        <f t="shared" si="0"/>
        <v>2027</v>
      </c>
      <c r="M1" s="27">
        <f t="shared" si="0"/>
        <v>2028</v>
      </c>
    </row>
    <row r="2" spans="1:13" ht="18.5" x14ac:dyDescent="0.45">
      <c r="A2" s="29" t="s">
        <v>12</v>
      </c>
      <c r="B2" s="29"/>
      <c r="C2" s="7"/>
      <c r="D2" s="8"/>
      <c r="E2" s="8"/>
      <c r="F2" s="8"/>
      <c r="G2" s="11">
        <v>44562</v>
      </c>
      <c r="H2" s="11">
        <v>44927</v>
      </c>
      <c r="I2" s="11">
        <v>45292</v>
      </c>
      <c r="J2" s="11">
        <v>45658</v>
      </c>
      <c r="K2" s="11">
        <v>46023</v>
      </c>
      <c r="L2" s="11">
        <v>46388</v>
      </c>
      <c r="M2" s="11">
        <v>46753</v>
      </c>
    </row>
    <row r="3" spans="1:13" ht="19" thickBot="1" x14ac:dyDescent="0.5">
      <c r="A3" s="29" t="s">
        <v>11</v>
      </c>
      <c r="B3" s="29"/>
      <c r="C3" s="7"/>
      <c r="D3" s="8"/>
      <c r="E3" s="8"/>
      <c r="F3" s="8"/>
      <c r="G3" s="11">
        <v>44926</v>
      </c>
      <c r="H3" s="11">
        <v>45291</v>
      </c>
      <c r="I3" s="11">
        <v>45657</v>
      </c>
      <c r="J3" s="11">
        <v>46022</v>
      </c>
      <c r="K3" s="11">
        <v>46387</v>
      </c>
      <c r="L3" s="11">
        <v>46752</v>
      </c>
      <c r="M3" s="11">
        <v>47118</v>
      </c>
    </row>
    <row r="4" spans="1:13" ht="15" thickBot="1" x14ac:dyDescent="0.4">
      <c r="C4" s="43" t="s">
        <v>69</v>
      </c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x14ac:dyDescent="0.35">
      <c r="C5" t="s">
        <v>70</v>
      </c>
      <c r="G5" s="62">
        <v>365</v>
      </c>
      <c r="H5" s="39"/>
    </row>
    <row r="6" spans="1:13" x14ac:dyDescent="0.35">
      <c r="C6" t="s">
        <v>71</v>
      </c>
      <c r="G6" s="62">
        <v>12</v>
      </c>
    </row>
    <row r="7" spans="1:13" ht="15" thickBot="1" x14ac:dyDescent="0.4"/>
    <row r="8" spans="1:13" ht="15" thickBot="1" x14ac:dyDescent="0.4">
      <c r="C8" s="43" t="s">
        <v>72</v>
      </c>
      <c r="D8" s="43"/>
      <c r="E8" s="43"/>
      <c r="F8" s="43"/>
      <c r="G8" s="43"/>
      <c r="H8" s="43"/>
      <c r="I8" s="43"/>
      <c r="J8" s="43"/>
      <c r="K8" s="43"/>
      <c r="L8" s="43"/>
      <c r="M8" s="43"/>
    </row>
    <row r="9" spans="1:13" x14ac:dyDescent="0.35">
      <c r="C9" t="s">
        <v>77</v>
      </c>
      <c r="G9" s="72">
        <v>0</v>
      </c>
      <c r="H9" s="72">
        <v>0.43</v>
      </c>
      <c r="I9" s="56">
        <v>0.43</v>
      </c>
      <c r="J9" s="56">
        <f>I9+5%</f>
        <v>0.48</v>
      </c>
      <c r="K9" s="56">
        <f t="shared" ref="K9:M9" si="1">J9+5%</f>
        <v>0.53</v>
      </c>
      <c r="L9" s="56">
        <f t="shared" si="1"/>
        <v>0.58000000000000007</v>
      </c>
      <c r="M9" s="56">
        <f t="shared" si="1"/>
        <v>0.63000000000000012</v>
      </c>
    </row>
    <row r="10" spans="1:13" ht="15" thickBot="1" x14ac:dyDescent="0.4">
      <c r="G10" s="56"/>
      <c r="H10" s="56"/>
      <c r="I10" s="56"/>
      <c r="J10" s="56"/>
      <c r="K10" s="56"/>
      <c r="L10" s="56"/>
      <c r="M10" s="56"/>
    </row>
    <row r="11" spans="1:13" ht="15" thickBot="1" x14ac:dyDescent="0.4">
      <c r="C11" s="43" t="s">
        <v>74</v>
      </c>
      <c r="D11" s="43"/>
      <c r="E11" s="43"/>
      <c r="F11" s="43"/>
      <c r="G11" s="73"/>
      <c r="H11" s="73"/>
      <c r="I11" s="73"/>
      <c r="J11" s="73"/>
      <c r="K11" s="73"/>
      <c r="L11" s="73"/>
      <c r="M11" s="73"/>
    </row>
    <row r="12" spans="1:13" x14ac:dyDescent="0.35">
      <c r="C12" t="s">
        <v>73</v>
      </c>
      <c r="G12" s="63">
        <v>0</v>
      </c>
      <c r="H12" s="72">
        <f>30%</f>
        <v>0.3</v>
      </c>
      <c r="I12" s="56">
        <v>0.3</v>
      </c>
      <c r="J12" s="56">
        <f t="shared" ref="J12:M12" si="2">I12-3%</f>
        <v>0.27</v>
      </c>
      <c r="K12" s="56">
        <f t="shared" si="2"/>
        <v>0.24000000000000002</v>
      </c>
      <c r="L12" s="56">
        <f t="shared" si="2"/>
        <v>0.21000000000000002</v>
      </c>
      <c r="M12" s="56">
        <f t="shared" si="2"/>
        <v>0.18000000000000002</v>
      </c>
    </row>
    <row r="13" spans="1:13" x14ac:dyDescent="0.35">
      <c r="G13" s="56"/>
      <c r="H13" s="56"/>
      <c r="I13" s="56"/>
      <c r="J13" s="56"/>
      <c r="K13" s="56"/>
      <c r="L13" s="56"/>
      <c r="M13" s="56"/>
    </row>
    <row r="14" spans="1:13" ht="15" thickBot="1" x14ac:dyDescent="0.4">
      <c r="G14" s="56"/>
      <c r="H14" s="56"/>
      <c r="I14" s="56"/>
      <c r="J14" s="56"/>
      <c r="K14" s="56"/>
      <c r="L14" s="56"/>
      <c r="M14" s="56"/>
    </row>
    <row r="15" spans="1:13" ht="15" thickBot="1" x14ac:dyDescent="0.4">
      <c r="C15" s="43" t="s">
        <v>61</v>
      </c>
      <c r="D15" s="43"/>
      <c r="E15" s="43"/>
      <c r="F15" s="43"/>
      <c r="G15" s="73"/>
      <c r="H15" s="73"/>
      <c r="I15" s="73"/>
      <c r="J15" s="73"/>
      <c r="K15" s="73"/>
      <c r="L15" s="73"/>
      <c r="M15" s="73"/>
    </row>
    <row r="16" spans="1:13" x14ac:dyDescent="0.35">
      <c r="C16" t="s">
        <v>75</v>
      </c>
      <c r="G16" s="56"/>
      <c r="H16" s="56"/>
      <c r="I16" s="75">
        <f>2%</f>
        <v>0.02</v>
      </c>
      <c r="J16" s="57">
        <f>I16+0.5%</f>
        <v>2.5000000000000001E-2</v>
      </c>
      <c r="K16" s="57">
        <f t="shared" ref="K16:M16" si="3">J16+0.5%</f>
        <v>3.0000000000000002E-2</v>
      </c>
      <c r="L16" s="57">
        <f t="shared" si="3"/>
        <v>3.5000000000000003E-2</v>
      </c>
      <c r="M16" s="57">
        <f t="shared" si="3"/>
        <v>0.04</v>
      </c>
    </row>
    <row r="17" spans="3:15" x14ac:dyDescent="0.35">
      <c r="G17" s="56"/>
      <c r="H17" s="56"/>
      <c r="I17" s="56"/>
      <c r="J17" s="56"/>
      <c r="K17" s="56"/>
      <c r="L17" s="56"/>
      <c r="M17" s="56"/>
      <c r="O17" t="s">
        <v>13</v>
      </c>
    </row>
    <row r="18" spans="3:15" ht="15" thickBot="1" x14ac:dyDescent="0.4">
      <c r="G18" s="56"/>
      <c r="H18" s="56"/>
      <c r="I18" s="56"/>
      <c r="J18" s="56"/>
      <c r="K18" s="56"/>
      <c r="L18" s="56"/>
      <c r="M18" s="56"/>
    </row>
    <row r="19" spans="3:15" ht="15" thickBot="1" x14ac:dyDescent="0.4">
      <c r="C19" s="43" t="s">
        <v>76</v>
      </c>
      <c r="D19" s="43"/>
      <c r="E19" s="43"/>
      <c r="F19" s="43"/>
      <c r="G19" s="74"/>
      <c r="H19" s="73"/>
      <c r="I19" s="73"/>
      <c r="J19" s="73"/>
      <c r="K19" s="73"/>
      <c r="L19" s="73"/>
      <c r="M19" s="73"/>
    </row>
    <row r="20" spans="3:15" x14ac:dyDescent="0.35">
      <c r="C20" t="s">
        <v>78</v>
      </c>
      <c r="G20" s="59">
        <f>Output!G10/Output!G5</f>
        <v>-0.41662982742455484</v>
      </c>
      <c r="H20" s="39">
        <f>Output!H10/Output!H5</f>
        <v>-0.18708344676270469</v>
      </c>
      <c r="I20" s="39">
        <f>H20</f>
        <v>-0.18708344676270469</v>
      </c>
      <c r="J20" s="39">
        <f t="shared" ref="J20:M20" si="4">I20</f>
        <v>-0.18708344676270469</v>
      </c>
      <c r="K20" s="39">
        <f t="shared" si="4"/>
        <v>-0.18708344676270469</v>
      </c>
      <c r="L20" s="39">
        <f t="shared" si="4"/>
        <v>-0.18708344676270469</v>
      </c>
      <c r="M20" s="39">
        <f t="shared" si="4"/>
        <v>-0.18708344676270469</v>
      </c>
    </row>
    <row r="21" spans="3:15" ht="15" thickBot="1" x14ac:dyDescent="0.4">
      <c r="C21" t="s">
        <v>13</v>
      </c>
      <c r="G21" s="56"/>
      <c r="H21" s="56"/>
      <c r="I21" s="56"/>
      <c r="J21" s="56"/>
      <c r="K21" s="56"/>
      <c r="L21" s="56"/>
      <c r="M21" s="56"/>
    </row>
    <row r="22" spans="3:15" ht="15" thickBot="1" x14ac:dyDescent="0.4">
      <c r="C22" s="43" t="s">
        <v>22</v>
      </c>
      <c r="D22" s="43"/>
      <c r="E22" s="43"/>
      <c r="F22" s="43"/>
      <c r="G22" s="58"/>
      <c r="H22" s="43"/>
      <c r="I22" s="43"/>
      <c r="J22" s="43"/>
      <c r="K22" s="43"/>
      <c r="L22" s="43"/>
      <c r="M22" s="43"/>
    </row>
    <row r="23" spans="3:15" x14ac:dyDescent="0.35">
      <c r="C23" t="s">
        <v>83</v>
      </c>
      <c r="G23" s="63">
        <v>0.3</v>
      </c>
      <c r="H23" t="s">
        <v>13</v>
      </c>
    </row>
    <row r="24" spans="3:15" ht="15" thickBot="1" x14ac:dyDescent="0.4"/>
    <row r="25" spans="3:15" ht="15" thickBot="1" x14ac:dyDescent="0.4">
      <c r="C25" s="43" t="s">
        <v>27</v>
      </c>
      <c r="D25" s="43"/>
      <c r="E25" s="43"/>
      <c r="F25" s="43"/>
      <c r="G25" s="58"/>
      <c r="H25" s="43"/>
      <c r="I25" s="43"/>
      <c r="J25" s="43"/>
      <c r="K25" s="43"/>
      <c r="L25" s="43"/>
      <c r="M25" s="43"/>
    </row>
    <row r="26" spans="3:15" x14ac:dyDescent="0.35">
      <c r="G26" t="s">
        <v>87</v>
      </c>
    </row>
    <row r="27" spans="3:15" x14ac:dyDescent="0.35">
      <c r="C27" t="s">
        <v>84</v>
      </c>
      <c r="G27">
        <v>5</v>
      </c>
      <c r="H27" s="56">
        <v>0.2</v>
      </c>
    </row>
    <row r="28" spans="3:15" x14ac:dyDescent="0.35">
      <c r="C28" t="s">
        <v>85</v>
      </c>
      <c r="G28">
        <v>5</v>
      </c>
      <c r="H28" s="56">
        <v>0.2</v>
      </c>
    </row>
    <row r="29" spans="3:15" x14ac:dyDescent="0.35">
      <c r="C29" t="s">
        <v>86</v>
      </c>
      <c r="G29">
        <v>5</v>
      </c>
      <c r="H29" s="56">
        <v>0.2</v>
      </c>
    </row>
    <row r="30" spans="3:15" x14ac:dyDescent="0.35">
      <c r="C30" t="s">
        <v>88</v>
      </c>
      <c r="G30" s="59">
        <f>12%</f>
        <v>0.12</v>
      </c>
    </row>
    <row r="31" spans="3:15" ht="15" thickBot="1" x14ac:dyDescent="0.4"/>
    <row r="32" spans="3:15" ht="15" thickBot="1" x14ac:dyDescent="0.4">
      <c r="C32" s="43" t="s">
        <v>93</v>
      </c>
      <c r="D32" s="43"/>
      <c r="E32" s="43"/>
      <c r="F32" s="43"/>
      <c r="G32" s="58"/>
      <c r="H32" s="43"/>
      <c r="I32" s="43"/>
      <c r="J32" s="43"/>
      <c r="K32" s="43"/>
      <c r="L32" s="43"/>
      <c r="M32" s="43"/>
    </row>
    <row r="33" spans="3:13" x14ac:dyDescent="0.35">
      <c r="C33" s="12" t="s">
        <v>30</v>
      </c>
      <c r="G33" s="67">
        <f>(Output!G69/Output!G5)*$G$5</f>
        <v>90.749628508814922</v>
      </c>
      <c r="H33" s="67">
        <f>(Output!H69/Output!H5)*365</f>
        <v>25.023896962169871</v>
      </c>
      <c r="I33" s="68">
        <v>22</v>
      </c>
      <c r="J33" s="68">
        <v>22</v>
      </c>
      <c r="K33" s="68">
        <v>22</v>
      </c>
      <c r="L33" s="68">
        <v>22</v>
      </c>
      <c r="M33" s="68">
        <v>22</v>
      </c>
    </row>
    <row r="34" spans="3:13" x14ac:dyDescent="0.35">
      <c r="C34" s="12" t="s">
        <v>31</v>
      </c>
      <c r="G34" s="76">
        <f>(Output!G82/-Output!G6)*input!$G$5</f>
        <v>410.2427597104184</v>
      </c>
      <c r="H34" s="30">
        <f>(Output!H82/-Output!H6)*input!$G$5</f>
        <v>30.0461149829028</v>
      </c>
      <c r="I34" s="68">
        <v>33</v>
      </c>
      <c r="J34" s="68">
        <v>33</v>
      </c>
      <c r="K34" s="68">
        <v>33</v>
      </c>
      <c r="L34" s="68">
        <v>33</v>
      </c>
      <c r="M34" s="68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Output</vt:lpstr>
      <vt:lpstr>Calculation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O BALOGUN</dc:creator>
  <cp:lastModifiedBy>Raymond Balogun</cp:lastModifiedBy>
  <dcterms:created xsi:type="dcterms:W3CDTF">2024-04-14T14:39:56Z</dcterms:created>
  <dcterms:modified xsi:type="dcterms:W3CDTF">2026-09-26T16:08:38Z</dcterms:modified>
</cp:coreProperties>
</file>